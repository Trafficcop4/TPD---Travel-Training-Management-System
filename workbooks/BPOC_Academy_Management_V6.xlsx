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ChapterPacket" sheetId="27" state="visible" r:id="rId27"/>
    <sheet name="ExamSheet" sheetId="28" state="visible" r:id="rId28"/>
    <sheet name="SignIn" sheetId="29" state="visible" r:id="rId29"/>
    <sheet name="EvalSheet" sheetId="30" state="visible" r:id="rId30"/>
    <sheet name="SpellingPrint" sheetId="31" state="visible" r:id="rId31"/>
    <sheet name="WritingHandout" sheetId="32" state="visible" r:id="rId32"/>
    <sheet name="EmailPreview" sheetId="33" state="visible" r:id="rId33"/>
    <sheet name="EmailLog" sheetId="34" state="visible" r:id="rId34"/>
    <sheet name="Settings" sheetId="35" state="visible" r:id="rId35"/>
    <sheet name="Lists" sheetId="36" state="visible" r:id="rId36"/>
    <sheet name="Agencies" sheetId="37" state="visible" r:id="rId37"/>
    <sheet name="Instructors" sheetId="38" state="visible" r:id="rId38"/>
    <sheet name="InstructorBanks" sheetId="39" state="visible" r:id="rId39"/>
    <sheet name="ChapterMaster" sheetId="40" state="visible" r:id="rId40"/>
    <sheet name="ExamMaster" sheetId="41" state="visible" r:id="rId41"/>
    <sheet name="ExamPlan" sheetId="42" state="visible" r:id="rId42"/>
    <sheet name="SkillsMaster" sheetId="43" state="visible" r:id="rId43"/>
    <sheet name="SpellingMaster" sheetId="44" state="visible" r:id="rId44"/>
    <sheet name="WritingMaster" sheetId="45" state="visible" r:id="rId45"/>
    <sheet name="Control" sheetId="46" state="visible" r:id="rId46"/>
    <sheet name="Schedule" sheetId="47" state="visible" r:id="rId47"/>
    <sheet name="sysGrades" sheetId="48" state="visible" r:id="rId48"/>
    <sheet name="sysAttendance" sheetId="49" state="visible" r:id="rId49"/>
    <sheet name="sysSkills" sheetId="50" state="visible" r:id="rId50"/>
    <sheet name="sysIncidents" sheetId="51" state="visible" r:id="rId51"/>
    <sheet name="sysFlags" sheetId="52" state="visible" r:id="rId52"/>
    <sheet name="sysChecks" sheetId="53" state="visible" r:id="rId53"/>
    <sheet name="sysAwards" sheetId="54" state="visible" r:id="rId54"/>
    <sheet name="sysAudit" sheetId="55" state="visible" r:id="rId55"/>
    <sheet name="sysListsHelper" sheetId="56" state="hidden" r:id="rId56"/>
    <sheet name="NamedRanges" sheetId="57" state="visible" r:id="rId57"/>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'Audit'!$B$30:$B$41</definedName>
    <definedName name="nrPRGmet">'Audit'!$F$30:$F$41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4" hidden="1">'Medical'!$B$5:$N$5</definedName>
    <definedName name="_xlnm._FilterDatabase" localSheetId="17" hidden="1">'DismissalLog'!$B$5:$O$5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'CadetProfile'!$B$5:$J$72</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'Audit'!$44:$44</definedName>
    <definedName name="_xlnm.Print_Area" localSheetId="24">'Audit'!$B$5:$I$94</definedName>
    <definedName name="_xlnm.Print_Titles" localSheetId="25">'Addendum'!$8:$8</definedName>
    <definedName name="_xlnm.Print_Area" localSheetId="25">'Addendum'!$B$5:$G$60</definedName>
    <definedName name="_xlnm.Print_Area" localSheetId="26">'ChapterPacket'!$B$5:$I$65</definedName>
    <definedName name="_xlnm.Print_Titles" localSheetId="27">'ExamSheet'!$10:$10</definedName>
    <definedName name="_xlnm.Print_Area" localSheetId="27">'ExamSheet'!$B$7:$I$64</definedName>
    <definedName name="_xlnm.Print_Area" localSheetId="28">'SignIn'!$B$5:$H$73</definedName>
    <definedName name="_xlnm.Print_Area" localSheetId="29">'EvalSheet'!$B$7:$H$36</definedName>
    <definedName name="_xlnm.Print_Area" localSheetId="30">'SpellingPrint'!$B$7:$F$26</definedName>
    <definedName name="_xlnm.Print_Area" localSheetId="31">'WritingHandout'!$B$7:$F$19</definedName>
    <definedName name="_xlnm._FilterDatabase" localSheetId="33" hidden="1">'EmailLog'!$B$5:$I$5</definedName>
    <definedName name="_xlnm._FilterDatabase" localSheetId="46" hidden="1">'Schedule'!$B$5:$N$5</definedName>
    <definedName name="_xlnm.Print_Titles" localSheetId="46">'Schedule'!$5:$5</definedName>
    <definedName name="_xlnm.Print_Area" localSheetId="46">'Schedule'!$B$5:$M$406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pivotButton="0" quotePrefix="0" xfId="0"/>
    <xf numFmtId="0" fontId="0" fillId="5" borderId="0" pivotButton="0" quotePrefix="0" xfId="0"/>
    <xf numFmtId="0" fontId="7" fillId="5" borderId="0" applyAlignment="1" pivotButton="0" quotePrefix="0" xfId="0">
      <alignment horizontal="left" vertical="center"/>
    </xf>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styles" Target="styles.xml" Id="rId58" /><Relationship Type="http://schemas.openxmlformats.org/officeDocument/2006/relationships/theme" Target="theme/theme1.xml" Id="rId59"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47</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63"/>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f>"TODAY — "&amp;UPPER(TEXT(TODAY(),"dddd, mmmm d"))&amp;IFERROR(" — TRAINING DAY #"&amp;_xlfn.XLOOKUP(TODAY(),nrCDdate,nrCDnum)&amp;", WEEK "&amp;_xlfn.XLOOKUP(TODAY(),nrCDdate,nrCDweek),"")</f>
        <v/>
      </c>
      <c r="C10" s="8" t="n"/>
      <c r="D10" s="8" t="n"/>
      <c r="E10" s="8" t="n"/>
      <c r="F10" s="8" t="n"/>
      <c r="G10" s="8" t="n"/>
      <c r="H10" s="8" t="n"/>
      <c r="I10" s="8" t="n"/>
      <c r="J10" s="8" t="n"/>
      <c r="K10" s="8" t="n"/>
    </row>
    <row r="11">
      <c r="B11">
        <f>IFERROR(_xlfn._xlws.FILTER(_xlfn.HSTACK(TEXT(nrSCH_Start,"h:mm AM/PM"),TEXT(nrSCH_End,"h:mm AM/PM"),nrSCH_Act,nrSCH_Instr,nrSCH_Loc),nrSCH_Date=TODAY()),"No class scheduled today")</f>
        <v/>
      </c>
    </row>
    <row r="12"/>
    <row r="13"/>
    <row r="14"/>
    <row r="15"/>
    <row r="16"/>
    <row r="17"/>
    <row r="18"/>
    <row r="19">
      <c r="B19" s="4" t="inlineStr">
        <is>
          <t>Separated / total enrolled</t>
        </is>
      </c>
      <c r="C19" s="5" t="n"/>
      <c r="D19" s="4" t="inlineStr">
        <is>
          <t>Class current avg</t>
        </is>
      </c>
      <c r="E19" s="5" t="n"/>
      <c r="F19" s="4" t="inlineStr">
        <is>
          <t>Graduation eligible</t>
        </is>
      </c>
      <c r="G19" s="5" t="n"/>
      <c r="H19" s="4" t="inlineStr">
        <is>
          <t>Flagged cadets</t>
        </is>
      </c>
      <c r="I19" s="5" t="n"/>
      <c r="J19" s="4" t="inlineStr">
        <is>
          <t>Overdue retests</t>
        </is>
      </c>
      <c r="K19" s="5" t="n"/>
    </row>
    <row r="20">
      <c r="B20" s="6">
        <f>SUMPRODUCT((nrCadetStatus="Separated")*1)&amp;" / "&amp;SUMPRODUCT((nrCadetStatus&lt;&gt;"")*1)</f>
        <v/>
      </c>
      <c r="C20" s="5" t="n"/>
      <c r="D20" s="6">
        <f>IFERROR(ROUND(AVERAGE(IF(nrCadetStatus="Active",nrGRcurrent)),1),"—")</f>
        <v/>
      </c>
      <c r="E20" s="5" t="n"/>
      <c r="F20" s="6">
        <f>SUMPRODUCT((nrCadetStatus="Active")*(nrCKgradElig="Yes"))</f>
        <v/>
      </c>
      <c r="G20" s="5" t="n"/>
      <c r="H20" s="6">
        <f>SUMPRODUCT((nrCadetStatus="Active")*(nrFLcount&gt;0))</f>
        <v/>
      </c>
      <c r="I20" s="5" t="n"/>
      <c r="J20" s="6">
        <f>COUNTIF(nrES_RetStat,"OVERDUE")</f>
        <v/>
      </c>
      <c r="K20" s="5" t="n"/>
    </row>
    <row r="21"/>
    <row r="22">
      <c r="B22" s="4" t="inlineStr">
        <is>
          <t>Spelling interventions</t>
        </is>
      </c>
      <c r="C22" s="5" t="n"/>
      <c r="D22" s="4" t="inlineStr">
        <is>
          <t>Makeup owed (cadets)</t>
        </is>
      </c>
      <c r="E22" s="5" t="n"/>
      <c r="F22" s="4" t="inlineStr">
        <is>
          <t>Delivered hours</t>
        </is>
      </c>
      <c r="G22" s="5" t="n"/>
      <c r="H22" s="4" t="inlineStr">
        <is>
          <t>Audit checks failing</t>
        </is>
      </c>
      <c r="I22" s="5" t="n"/>
      <c r="J22" s="4" t="inlineStr">
        <is>
          <t>Days to graduation</t>
        </is>
      </c>
      <c r="K22" s="5" t="n"/>
      <c r="L22" s="4" t="inlineStr">
        <is>
          <t>Cert copies to collect</t>
        </is>
      </c>
      <c r="M22" s="5" t="n"/>
    </row>
    <row r="23">
      <c r="B23" s="6">
        <f>COUNTIF(nrSpellFlag,"INTERVENTION")</f>
        <v/>
      </c>
      <c r="C23" s="5" t="n"/>
      <c r="D23" s="6">
        <f>SUMPRODUCT((nrCadetStatus="Active")*(nrATTmakeupOK="No"))</f>
        <v/>
      </c>
      <c r="E23" s="5" t="n"/>
      <c r="F23" s="6">
        <f>ROUND(N(nrCHtotalDelivered),0)&amp;" / "&amp;cfgRequiredHours</f>
        <v/>
      </c>
      <c r="G23" s="5" t="n"/>
      <c r="H23" s="6">
        <f>SUMPRODUCT((nrAUDstatus&lt;&gt;"OK")*(nrAUDstatus&lt;&gt;""))</f>
        <v/>
      </c>
      <c r="I23" s="5" t="n"/>
      <c r="J23" s="6">
        <f>MAX(0,cfgEndDate-TODAY())</f>
        <v/>
      </c>
      <c r="K23" s="5" t="n"/>
      <c r="L23" s="6">
        <f>SUMPRODUCT((nrCadetStatus="Active")*(nrCERTmissing&lt;&gt;""))</f>
        <v/>
      </c>
      <c r="M23" s="5" t="n"/>
    </row>
    <row r="24"/>
    <row r="25" ht="16" customHeight="1">
      <c r="B25" s="9" t="inlineStr">
        <is>
          <t>Watch list — highest flag counts first (full list on WatchList)</t>
        </is>
      </c>
      <c r="C25" s="8" t="n"/>
      <c r="D25" s="8" t="n"/>
      <c r="E25" s="8" t="n"/>
      <c r="F25" s="8" t="n"/>
      <c r="G25" s="8" t="n"/>
      <c r="H25" s="8" t="n"/>
      <c r="I25" s="8" t="n"/>
      <c r="J25" s="8" t="n"/>
      <c r="K25" s="8" t="n"/>
    </row>
    <row r="26">
      <c r="B26">
        <f>IFERROR(_xlfn.SORTBY(_xlfn._xlws.FILTER(_xlfn.HSTACK(rngCadetNames,nrCadetAgency,nrFLcount,nrFLreasons),(nrFLcount&gt;0)*(nrCadetStatus="Active")),_xlfn._xlws.FILTER(nrFLcount,(nrFLcount&gt;0)*(nrCadetStatus="Active")),-1),"No flags — clear")</f>
        <v/>
      </c>
    </row>
    <row r="27"/>
    <row r="28"/>
    <row r="29"/>
    <row r="30"/>
    <row r="31"/>
    <row r="32"/>
    <row r="33"/>
    <row r="34"/>
    <row r="35"/>
    <row r="36"/>
    <row r="37" ht="16" customHeight="1">
      <c r="B37" s="9" t="inlineStr">
        <is>
          <t>Certification reminders — copies to collect from cadets (Certifications sheet)</t>
        </is>
      </c>
      <c r="C37" s="8" t="n"/>
      <c r="D37" s="8" t="n"/>
      <c r="E37" s="8" t="n"/>
      <c r="F37" s="8" t="n"/>
      <c r="G37" s="8" t="n"/>
      <c r="H37" s="8" t="n"/>
      <c r="I37" s="8" t="n"/>
      <c r="J37" s="8" t="n"/>
      <c r="K37" s="8" t="n"/>
    </row>
    <row r="38">
      <c r="B38">
        <f>IFERROR(_xlfn._xlws.FILTER(_xlfn.HSTACK(rngCadetNames,nrCadetAgency,nrCERTmissing),(nrCERTmissing&lt;&gt;"")*(nrCadetStatus="Active")),"All certification copies collected")</f>
        <v/>
      </c>
    </row>
    <row r="39"/>
    <row r="40"/>
    <row r="41"/>
    <row r="42"/>
    <row r="43"/>
    <row r="44"/>
    <row r="45"/>
    <row r="46"/>
    <row r="47" ht="16" customHeight="1">
      <c r="B47" s="9" t="inlineStr">
        <is>
          <t>Class average by exam</t>
        </is>
      </c>
      <c r="C47" s="8" t="n"/>
      <c r="D47" s="8" t="n"/>
      <c r="E47" s="8" t="n"/>
      <c r="F47" s="8" t="n"/>
      <c r="G47" s="8" t="n"/>
      <c r="H47" s="8" t="n"/>
      <c r="I47" s="8" t="n"/>
      <c r="J47" s="8" t="n"/>
      <c r="K47" s="8" t="n"/>
    </row>
    <row r="48"/>
    <row r="49"/>
    <row r="50"/>
    <row r="51"/>
    <row r="52"/>
    <row r="53"/>
    <row r="54"/>
    <row r="55"/>
    <row r="56"/>
    <row r="57"/>
    <row r="58"/>
    <row r="59"/>
    <row r="60"/>
    <row r="61"/>
    <row r="62"/>
    <row r="63" ht="16" customHeight="1">
      <c r="B63" s="9" t="inlineStr">
        <is>
          <t>Spelling class average by test</t>
        </is>
      </c>
      <c r="C63" s="8" t="n"/>
      <c r="D63" s="8" t="n"/>
      <c r="E63" s="8" t="n"/>
      <c r="F63" s="8" t="n"/>
      <c r="G63" s="8" t="n"/>
      <c r="H63" s="8" t="n"/>
      <c r="I63" s="8" t="n"/>
      <c r="J63" s="8" t="n"/>
      <c r="K63" s="8" t="n"/>
    </row>
  </sheetData>
  <mergeCells count="36">
    <mergeCell ref="D20:E20"/>
    <mergeCell ref="H20:I20"/>
    <mergeCell ref="B7:C7"/>
    <mergeCell ref="D19:E19"/>
    <mergeCell ref="F19:G19"/>
    <mergeCell ref="J19:K19"/>
    <mergeCell ref="B22:C22"/>
    <mergeCell ref="D22:E22"/>
    <mergeCell ref="F7:G7"/>
    <mergeCell ref="B63:K63"/>
    <mergeCell ref="J23:K23"/>
    <mergeCell ref="F20:G20"/>
    <mergeCell ref="B23:C23"/>
    <mergeCell ref="B25:K25"/>
    <mergeCell ref="L23:M23"/>
    <mergeCell ref="B47:K47"/>
    <mergeCell ref="B8:C8"/>
    <mergeCell ref="F8:G8"/>
    <mergeCell ref="J20:K20"/>
    <mergeCell ref="D7:E7"/>
    <mergeCell ref="H7:I7"/>
    <mergeCell ref="B19:C19"/>
    <mergeCell ref="J7:K7"/>
    <mergeCell ref="F23:G23"/>
    <mergeCell ref="H19:I19"/>
    <mergeCell ref="F22:G22"/>
    <mergeCell ref="H22:I22"/>
    <mergeCell ref="J22:K22"/>
    <mergeCell ref="L22:M22"/>
    <mergeCell ref="D8:E8"/>
    <mergeCell ref="B20:C20"/>
    <mergeCell ref="D23:E23"/>
    <mergeCell ref="H23:I23"/>
    <mergeCell ref="H8:I8"/>
    <mergeCell ref="J8:K8"/>
    <mergeCell ref="B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9"/>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9"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9"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t>
        </is>
      </c>
    </row>
    <row r="30" ht="26" customHeight="1">
      <c r="B30" s="3">
        <f>HYPERLINK("#PT!B6","PT")</f>
        <v/>
      </c>
      <c r="C30" s="13" t="inlineStr">
        <is>
          <t>Baseline and final raw values per event; final points once the rubric arrives.</t>
        </is>
      </c>
    </row>
    <row r="31" ht="26" customHeight="1">
      <c r="B31" s="3">
        <f>HYPERLINK("#Medical!B6","Medical")</f>
        <v/>
      </c>
      <c r="C31" s="13" t="inlineStr">
        <is>
          <t>Injuries, restrictions, clearances and expirations.</t>
        </is>
      </c>
    </row>
    <row r="32" ht="26" customHeight="1">
      <c r="B32" s="3">
        <f>HYPERLINK("#Certifications!B6","Certifications")</f>
        <v/>
      </c>
      <c r="C32" s="13" t="inlineStr">
        <is>
          <t>Per-cadet TIM/SFST/TCIC/CPR/ALERRT/ICS completion dates and certificate copies collected.</t>
        </is>
      </c>
    </row>
    <row r="33" ht="26" customHeight="1">
      <c r="B33" s="3">
        <f>HYPERLINK("#StateExam!B6","StateExam")</f>
        <v/>
      </c>
      <c r="C33" s="13" t="inlineStr">
        <is>
          <t>TCOLE licensing exam attempts and results (3 max).</t>
        </is>
      </c>
    </row>
    <row r="34" ht="26" customHeight="1">
      <c r="B34" s="3">
        <f>HYPERLINK("#DismissalLog!B6","DismissalLog")</f>
        <v/>
      </c>
      <c r="C34" s="13" t="inlineStr">
        <is>
          <t>Formal reviews: trigger, decision, approvals.</t>
        </is>
      </c>
    </row>
    <row r="35" ht="16" customHeight="1">
      <c r="B35" s="9" t="inlineStr">
        <is>
          <t>End of academy / as needed</t>
        </is>
      </c>
      <c r="C35" s="8" t="n"/>
      <c r="D35" s="8" t="n"/>
      <c r="E35" s="8" t="n"/>
      <c r="F35" s="8" t="n"/>
      <c r="G35" s="8" t="n"/>
      <c r="H35" s="8" t="n"/>
    </row>
    <row r="36" ht="26" customHeight="1">
      <c r="B36" s="3">
        <f>HYPERLINK("#Audit!B6","Audit")</f>
        <v/>
      </c>
      <c r="C36" s="13" t="inlineStr">
        <is>
          <t>Program-requirement checklist answers + per-cadet enrollment documents grid.</t>
        </is>
      </c>
    </row>
    <row r="37" ht="26" customHeight="1">
      <c r="B37" s="3">
        <f>HYPERLINK("#EmailPreview!B6","EmailPreview")</f>
        <v/>
      </c>
      <c r="C37" s="13" t="inlineStr">
        <is>
          <t>Pick an agency to preview its email; the button builds Outlook drafts.</t>
        </is>
      </c>
    </row>
    <row r="38" ht="26" customHeight="1">
      <c r="B38" s="3">
        <f>HYPERLINK("#sysAwards!B6","sysAwards")</f>
        <v/>
      </c>
      <c r="C38" s="13" t="inlineStr">
        <is>
          <t>Award override cells — your pick always wins.</t>
        </is>
      </c>
    </row>
    <row r="39" ht="26" customHeight="1">
      <c r="B39" s="3">
        <f>HYPERLINK("#PrintCenter!B6","PrintCenter")</f>
        <v/>
      </c>
      <c r="C39" s="13" t="inlineStr">
        <is>
          <t>Every printable in one place (buttons after VBA install).</t>
        </is>
      </c>
    </row>
  </sheetData>
  <mergeCells count="34">
    <mergeCell ref="C25:H25"/>
    <mergeCell ref="C10:H10"/>
    <mergeCell ref="C16:H16"/>
    <mergeCell ref="C22:H22"/>
    <mergeCell ref="C9:H9"/>
    <mergeCell ref="C31:H31"/>
    <mergeCell ref="B6:H6"/>
    <mergeCell ref="C12:H12"/>
    <mergeCell ref="B20:H20"/>
    <mergeCell ref="C21:H21"/>
    <mergeCell ref="C11:H11"/>
    <mergeCell ref="C36:H36"/>
    <mergeCell ref="C27:H27"/>
    <mergeCell ref="B35:H35"/>
    <mergeCell ref="C23:H23"/>
    <mergeCell ref="C39:H39"/>
    <mergeCell ref="C8:H8"/>
    <mergeCell ref="C17:H17"/>
    <mergeCell ref="C7:H7"/>
    <mergeCell ref="C32:H32"/>
    <mergeCell ref="C38:H38"/>
    <mergeCell ref="C19:H19"/>
    <mergeCell ref="C28:H28"/>
    <mergeCell ref="C13:H13"/>
    <mergeCell ref="C37:H37"/>
    <mergeCell ref="C18:H18"/>
    <mergeCell ref="C34:H34"/>
    <mergeCell ref="C30:H30"/>
    <mergeCell ref="C15:H15"/>
    <mergeCell ref="C33:H33"/>
    <mergeCell ref="C24:H24"/>
    <mergeCell ref="C14:H14"/>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2"/>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sign-in sheet</t>
        </is>
      </c>
      <c r="C8" s="14" t="inlineStr">
        <is>
          <t>Set the date on SignIn (or here)</t>
        </is>
      </c>
      <c r="D8" s="14" t="inlineStr">
        <is>
          <t>SignIn</t>
        </is>
      </c>
      <c r="E8" s="2" t="inlineStr">
        <is>
          <t>btnPrintSignIn</t>
        </is>
      </c>
    </row>
    <row r="9" ht="20" customHeight="1">
      <c r="B9" s="3" t="inlineStr">
        <is>
          <t>Course critique stack</t>
        </is>
      </c>
      <c r="C9" s="14" t="inlineStr">
        <is>
          <t>Set chapter on EvalSheet; prints one per active cadet</t>
        </is>
      </c>
      <c r="D9" s="14" t="inlineStr">
        <is>
          <t>EvalSheet</t>
        </is>
      </c>
      <c r="E9" s="2" t="inlineStr">
        <is>
          <t>btnPrintEvals</t>
        </is>
      </c>
    </row>
    <row r="10" ht="20" customHeight="1">
      <c r="B10" s="3" t="inlineStr">
        <is>
          <t>Spelling test / key</t>
        </is>
      </c>
      <c r="C10" s="14" t="inlineStr">
        <is>
          <t>Set test # and mode on SpellingPrint</t>
        </is>
      </c>
      <c r="D10" s="14" t="inlineStr">
        <is>
          <t>SpellingPrint</t>
        </is>
      </c>
      <c r="E10" s="2" t="inlineStr">
        <is>
          <t>btnPrintSpelling</t>
        </is>
      </c>
    </row>
    <row r="11" ht="20" customHeight="1">
      <c r="B11" s="3" t="inlineStr">
        <is>
          <t>Writing handout (week)</t>
        </is>
      </c>
      <c r="C11" s="14" t="inlineStr">
        <is>
          <t>Set week # on WritingHandout</t>
        </is>
      </c>
      <c r="D11" s="14" t="inlineStr">
        <is>
          <t>WritingHandout</t>
        </is>
      </c>
      <c r="E11" s="2" t="inlineStr">
        <is>
          <t>btnPrintWriting</t>
        </is>
      </c>
    </row>
    <row r="12" ht="20" customHeight="1">
      <c r="B12" s="3" t="inlineStr">
        <is>
          <t>Cadet profile</t>
        </is>
      </c>
      <c r="C12" s="14" t="inlineStr">
        <is>
          <t>Set cadet on CadetProfile</t>
        </is>
      </c>
      <c r="D12" s="14" t="inlineStr">
        <is>
          <t>CadetProfile</t>
        </is>
      </c>
      <c r="E12" s="2" t="inlineStr">
        <is>
          <t>btnPrintProfile</t>
        </is>
      </c>
    </row>
    <row r="13" ht="20" customHeight="1">
      <c r="B13" s="3" t="inlineStr">
        <is>
          <t>Transcript</t>
        </is>
      </c>
      <c r="C13" s="14" t="inlineStr">
        <is>
          <t>Set cadet on Transcript (button can run all cadets)</t>
        </is>
      </c>
      <c r="D13" s="14" t="inlineStr">
        <is>
          <t>Transcript</t>
        </is>
      </c>
      <c r="E13" s="2" t="inlineStr">
        <is>
          <t>btnPrintTranscript</t>
        </is>
      </c>
    </row>
    <row r="14" ht="20" customHeight="1">
      <c r="B14" s="3" t="inlineStr">
        <is>
          <t>Class ranking</t>
        </is>
      </c>
      <c r="C14" s="14" t="inlineStr">
        <is>
          <t>Prints as-is</t>
        </is>
      </c>
      <c r="D14" s="14" t="inlineStr">
        <is>
          <t>Ranking</t>
        </is>
      </c>
      <c r="E14" s="2" t="inlineStr">
        <is>
          <t>btnPrintRanking</t>
        </is>
      </c>
    </row>
    <row r="15" ht="20" customHeight="1">
      <c r="B15" s="3" t="inlineStr">
        <is>
          <t>Graduation checklist</t>
        </is>
      </c>
      <c r="C15" s="14" t="inlineStr">
        <is>
          <t>Prints as-is</t>
        </is>
      </c>
      <c r="D15" s="14" t="inlineStr">
        <is>
          <t>GradChecklist</t>
        </is>
      </c>
      <c r="E15" s="2" t="inlineStr">
        <is>
          <t>btnPrintGradCheck</t>
        </is>
      </c>
    </row>
    <row r="16" ht="20" customHeight="1">
      <c r="B16" s="3" t="inlineStr">
        <is>
          <t>Audit packet</t>
        </is>
      </c>
      <c r="C16" s="14" t="inlineStr">
        <is>
          <t>Program checks + enrollment docs</t>
        </is>
      </c>
      <c r="D16" s="14" t="inlineStr">
        <is>
          <t>Audit</t>
        </is>
      </c>
      <c r="E16" s="2" t="inlineStr">
        <is>
          <t>btnPrintAudit</t>
        </is>
      </c>
    </row>
    <row r="17" ht="20" customHeight="1">
      <c r="B17" s="3" t="inlineStr">
        <is>
          <t>Chapter packet</t>
        </is>
      </c>
      <c r="C17" s="14" t="inlineStr">
        <is>
          <t>Set chapter on ChapterPacket — the full training-file page for the auditor</t>
        </is>
      </c>
      <c r="D17" s="14" t="inlineStr">
        <is>
          <t>ChapterPacket</t>
        </is>
      </c>
      <c r="E17" s="2" t="inlineStr">
        <is>
          <t>btnPrintChapterPacket</t>
        </is>
      </c>
    </row>
    <row r="18" ht="20" customHeight="1">
      <c r="B18" s="3" t="inlineStr">
        <is>
          <t>Exam grade sheet</t>
        </is>
      </c>
      <c r="C18" s="14" t="inlineStr">
        <is>
          <t>Set exam # on ExamSheet — the IRG-required grade sheet per assessment</t>
        </is>
      </c>
      <c r="D18" s="14" t="inlineStr">
        <is>
          <t>ExamSheet</t>
        </is>
      </c>
      <c r="E18" s="2" t="inlineStr">
        <is>
          <t>btnPrintGradeSheet</t>
        </is>
      </c>
    </row>
    <row r="19" ht="20" customHeight="1">
      <c r="B19" s="3" t="inlineStr">
        <is>
          <t>Addendum (excess hours)</t>
        </is>
      </c>
      <c r="C19" s="14" t="inlineStr">
        <is>
          <t>Per-class excess vs TCOLE minimum with reporting course #s (#101 / #2040 / #2046 / #2055)</t>
        </is>
      </c>
      <c r="D19" s="14" t="inlineStr">
        <is>
          <t>Addendum</t>
        </is>
      </c>
      <c r="E19" s="2" t="inlineStr">
        <is>
          <t>btnPrintAddendum</t>
        </is>
      </c>
    </row>
    <row r="20" ht="20" customHeight="1">
      <c r="B20" s="3" t="inlineStr">
        <is>
          <t>Schedule</t>
        </is>
      </c>
      <c r="C20" s="14" t="inlineStr">
        <is>
          <t>Full schedule listing</t>
        </is>
      </c>
      <c r="D20" s="14" t="inlineStr">
        <is>
          <t>Schedule</t>
        </is>
      </c>
      <c r="E20" s="2" t="inlineStr">
        <is>
          <t>btnPrintSchedule</t>
        </is>
      </c>
    </row>
    <row r="21"/>
    <row r="22" ht="30" customHeight="1">
      <c r="B22" s="15" t="inlineStr">
        <is>
          <t>Buttons are added by the VBA install (see docs/Setup). Each button prints its sheet's defined print area to the default printer; Ctrl+P on the sheet does the same thing manually.</t>
        </is>
      </c>
    </row>
  </sheetData>
  <mergeCells count="1">
    <mergeCell ref="B22:F22"/>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row>
  </sheetData>
  <autoFilter ref="B5:O5"/>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10">
        <f>HYPERLINK("#Dashboard!B5","◄ Dashboard")</f>
        <v/>
      </c>
    </row>
    <row r="2"/>
    <row r="3"/>
    <row r="4">
      <c r="B4" s="11" t="inlineStr">
        <is>
          <t>Positive and negative incidents. Negative Major/Critical trigger chain-of-command review (policy 600).</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row>
  </sheetData>
  <autoFilter ref="B5:N5"/>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This is the early-intervention paper trail policy 300.4.B expects — and it feeds the since-last-email agency digest.</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61"/>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3" t="n"/>
      <c r="D5" s="24" t="n"/>
      <c r="E5" s="25" t="n"/>
      <c r="G5" s="2">
        <f>cfgAcademyClass&amp;" — Cadet Profile — "&amp;TEXT(TODAY(),"mm/dd/yyyy")</f>
        <v/>
      </c>
    </row>
    <row r="6"/>
    <row r="7" ht="16" customHeight="1">
      <c r="B7" s="9"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9"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9"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9"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9"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9"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sheetData>
  <sheetProtection selectLockedCells="1" selectUnlockedCells="1" sheet="1" objects="0" insertRows="1" insertHyperlinks="1" autoFilter="1" scenarios="0" formatColumns="1" deleteColumns="1" insertColumns="1" pivotTables="1" deleteRows="1" formatCells="1" formatRows="1" sort="1" password="B4BB"/>
  <mergeCells count="34">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3" t="n"/>
      <c r="D5" s="24" t="n"/>
      <c r="E5" s="25"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9"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9"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9"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9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9"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row r="24" ht="16" customHeight="1">
      <c r="B24" s="9" t="inlineStr">
        <is>
          <t>Requirement sources — what is TCOLE rule vs Academy policy</t>
        </is>
      </c>
      <c r="C24" s="8" t="n"/>
      <c r="D24" s="8" t="n"/>
      <c r="E24" s="8" t="n"/>
      <c r="F24" s="8" t="n"/>
      <c r="G24" s="8" t="n"/>
      <c r="H24" s="8" t="n"/>
    </row>
    <row r="25" ht="26" customHeight="1">
      <c r="B25" s="15" t="inlineStr">
        <is>
          <t>• TCOLE Rule (Ch. 215/218/219): course #1000736 minimum hours per chapter, licensed/SME instructors, course records retention, exam security, student enrollment standards (L2/L3, medical), attendance records.</t>
        </is>
      </c>
    </row>
    <row r="26" ht="26" customHeight="1">
      <c r="B26" s="15" t="inlineStr">
        <is>
          <t>• Academy Policy (May 2026 manual): weighted grading (40/30/10/20), 70-in-each-category rule, weekly spelling tests + 75% intervention, 40 writing assignments, PT program and caps, awards.</t>
        </is>
      </c>
    </row>
    <row r="27"/>
    <row r="28" ht="16" customHeight="1">
      <c r="B28" s="9" t="inlineStr">
        <is>
          <t>Program-level TCOLE requirements (mark Yes when satisfied)</t>
        </is>
      </c>
      <c r="C28" s="8" t="n"/>
      <c r="D28" s="8" t="n"/>
      <c r="E28" s="8" t="n"/>
      <c r="F28" s="8" t="n"/>
      <c r="G28" s="8" t="n"/>
      <c r="H28" s="8" t="n"/>
    </row>
    <row r="29" ht="26" customHeight="1">
      <c r="B29" s="12" t="inlineStr">
        <is>
          <t>Requirement</t>
        </is>
      </c>
      <c r="C29" s="26" t="n"/>
      <c r="D29" s="26" t="n"/>
      <c r="E29" s="27" t="n"/>
      <c r="F29" s="12" t="inlineStr">
        <is>
          <t>Met?</t>
        </is>
      </c>
      <c r="G29" s="12" t="inlineStr">
        <is>
          <t>Notes</t>
        </is>
      </c>
    </row>
    <row r="30" ht="26" customHeight="1">
      <c r="B30" s="13" t="inlineStr">
        <is>
          <t>Commission Rules distributed to all students (Rule 215.9) — Copies of current TCOLE rules given to every student admitted</t>
        </is>
      </c>
      <c r="F30" s="16" t="n"/>
      <c r="G30" s="16" t="n"/>
    </row>
    <row r="31" ht="26" customHeight="1">
      <c r="B31" s="13" t="inlineStr">
        <is>
          <t>Required rule review conducted (215.9) — Reviewed 211.33, 221.1, 223.1, 223.3, 223.15, 223.17, 223.19 in class</t>
        </is>
      </c>
      <c r="F31" s="16" t="n"/>
      <c r="G31" s="16" t="n"/>
    </row>
    <row r="32" ht="26" customHeight="1">
      <c r="B32" s="13" t="inlineStr">
        <is>
          <t>Approved TCLEDDS roster on file — Required element of the training file</t>
        </is>
      </c>
      <c r="F32" s="16" t="n"/>
      <c r="G32" s="16" t="n"/>
    </row>
    <row r="33" ht="26" customHeight="1">
      <c r="B33" s="13" t="inlineStr">
        <is>
          <t>Course reported at exactly 736 hours — Excess hours reported under Addendum to BPOC (course #101), never inside the 736</t>
        </is>
      </c>
      <c r="F33" s="16" t="n"/>
      <c r="G33" s="16" t="n"/>
    </row>
    <row r="34" ht="26" customHeight="1">
      <c r="B34" s="13" t="inlineStr">
        <is>
          <t>Non-BPOC classes reported separately within 30 days — Any additional classes the academy teaches</t>
        </is>
      </c>
      <c r="F34" s="16" t="n"/>
      <c r="G34" s="16" t="n"/>
    </row>
    <row r="35" ht="26" customHeight="1">
      <c r="B35" s="13" t="inlineStr">
        <is>
          <t>Facility standards met (in-person, scenario/skills adequate) — Classroom supports role-play, defensive tactics, firearms demonstration</t>
        </is>
      </c>
      <c r="F35" s="16" t="n"/>
      <c r="G35" s="16" t="n"/>
    </row>
    <row r="36" ht="26" customHeight="1">
      <c r="B36" s="13" t="inlineStr">
        <is>
          <t>Assessments document mastery of all objectives — Learners are never passed on attendance alone</t>
        </is>
      </c>
      <c r="F36" s="16" t="n"/>
      <c r="G36" s="16" t="n"/>
    </row>
    <row r="37" ht="26" customHeight="1">
      <c r="B37" s="13" t="inlineStr">
        <is>
          <t>State exam plan communicated (250 Q, 70%, 3 attempts max) — Third failure requires enrolling in a new BPOC</t>
        </is>
      </c>
      <c r="F37" s="16" t="n"/>
      <c r="G37" s="16" t="n"/>
    </row>
    <row r="38" ht="26" customHeight="1">
      <c r="B38" s="13" t="inlineStr">
        <is>
          <t>Five-year retention of training records — Auditors sample past courses; files must be producible on request</t>
        </is>
      </c>
      <c r="F38" s="16" t="n"/>
      <c r="G38" s="16" t="n"/>
    </row>
    <row r="39" ht="26" customHeight="1">
      <c r="B39" s="13" t="inlineStr">
        <is>
          <t>Prior academies' FINAL workbooks archived and locatable — One file per academy; know where every finished class's file lives</t>
        </is>
      </c>
      <c r="F39" s="16" t="n"/>
      <c r="G39" s="16" t="n"/>
    </row>
    <row r="40" ht="26" customHeight="1">
      <c r="B40" s="13" t="inlineStr">
        <is>
          <t>Digital evidence library organized per chapter — LMS test PDFs, ExamSheet grade sheets, scanned spelling tests, sign-in scans, evals - one folder per chapter, ChapterPacket as cover</t>
        </is>
      </c>
      <c r="F40" s="16" t="n"/>
      <c r="G40" s="16" t="n"/>
    </row>
    <row r="41" ht="26" customHeight="1">
      <c r="B41" s="13" t="inlineStr">
        <is>
          <t>Original sign-in sheets retained (not just scans) — IRG asks for the ORIGINAL legibly written sign-in w/ PID; verify with TCOLE whether scans alone suffice</t>
        </is>
      </c>
      <c r="F41" s="16" t="n"/>
      <c r="G41" s="16" t="n"/>
    </row>
    <row r="42"/>
    <row r="43" ht="16" customHeight="1">
      <c r="B43" s="9" t="inlineStr">
        <is>
          <t>Per-cadet enrollment documents (mark Yes when on file)</t>
        </is>
      </c>
      <c r="C43" s="8" t="n"/>
      <c r="D43" s="8" t="n"/>
      <c r="E43" s="8" t="n"/>
      <c r="F43" s="8" t="n"/>
      <c r="G43" s="8" t="n"/>
      <c r="H43" s="8" t="n"/>
    </row>
    <row r="44" ht="26" customHeight="1">
      <c r="B44" s="12" t="inlineStr">
        <is>
          <t>Cadet</t>
        </is>
      </c>
      <c r="C44" s="12" t="inlineStr">
        <is>
          <t>Enroll App</t>
        </is>
      </c>
      <c r="D44" s="12" t="inlineStr">
        <is>
          <t>TCLEDDS L1</t>
        </is>
      </c>
      <c r="E44" s="12" t="inlineStr">
        <is>
          <t>Medical (L2)</t>
        </is>
      </c>
      <c r="F44" s="12" t="inlineStr">
        <is>
          <t>Psych (L3)</t>
        </is>
      </c>
      <c r="G44" s="12" t="inlineStr">
        <is>
          <t>Background</t>
        </is>
      </c>
      <c r="H44" s="12" t="inlineStr">
        <is>
          <t>Photo ID/DL</t>
        </is>
      </c>
      <c r="I44" s="12" t="inlineStr">
        <is>
          <t>All Docs?</t>
        </is>
      </c>
    </row>
    <row r="45">
      <c r="B45" s="20">
        <f>IF(Cadets!$B6="","",Cadets!$F6)</f>
        <v/>
      </c>
      <c r="C45" s="16" t="n"/>
      <c r="D45" s="16" t="n"/>
      <c r="E45" s="16" t="n"/>
      <c r="F45" s="16" t="n"/>
      <c r="G45" s="16" t="n"/>
      <c r="H45" s="16" t="n"/>
      <c r="I45" s="20">
        <f>IF($B45="","",IF(COUNTIF(C45:H45,"Yes")=6,"Yes","No"))</f>
        <v/>
      </c>
    </row>
    <row r="46">
      <c r="B46" s="20">
        <f>IF(Cadets!$B7="","",Cadets!$F7)</f>
        <v/>
      </c>
      <c r="C46" s="16" t="n"/>
      <c r="D46" s="16" t="n"/>
      <c r="E46" s="16" t="n"/>
      <c r="F46" s="16" t="n"/>
      <c r="G46" s="16" t="n"/>
      <c r="H46" s="16" t="n"/>
      <c r="I46" s="20">
        <f>IF($B46="","",IF(COUNTIF(C46:H46,"Yes")=6,"Yes","No"))</f>
        <v/>
      </c>
    </row>
    <row r="47">
      <c r="B47" s="20">
        <f>IF(Cadets!$B8="","",Cadets!$F8)</f>
        <v/>
      </c>
      <c r="C47" s="16" t="n"/>
      <c r="D47" s="16" t="n"/>
      <c r="E47" s="16" t="n"/>
      <c r="F47" s="16" t="n"/>
      <c r="G47" s="16" t="n"/>
      <c r="H47" s="16" t="n"/>
      <c r="I47" s="20">
        <f>IF($B47="","",IF(COUNTIF(C47:H47,"Yes")=6,"Yes","No"))</f>
        <v/>
      </c>
    </row>
    <row r="48">
      <c r="B48" s="20">
        <f>IF(Cadets!$B9="","",Cadets!$F9)</f>
        <v/>
      </c>
      <c r="C48" s="16" t="n"/>
      <c r="D48" s="16" t="n"/>
      <c r="E48" s="16" t="n"/>
      <c r="F48" s="16" t="n"/>
      <c r="G48" s="16" t="n"/>
      <c r="H48" s="16" t="n"/>
      <c r="I48" s="20">
        <f>IF($B48="","",IF(COUNTIF(C48:H48,"Yes")=6,"Yes","No"))</f>
        <v/>
      </c>
    </row>
    <row r="49">
      <c r="B49" s="20">
        <f>IF(Cadets!$B10="","",Cadets!$F10)</f>
        <v/>
      </c>
      <c r="C49" s="16" t="n"/>
      <c r="D49" s="16" t="n"/>
      <c r="E49" s="16" t="n"/>
      <c r="F49" s="16" t="n"/>
      <c r="G49" s="16" t="n"/>
      <c r="H49" s="16" t="n"/>
      <c r="I49" s="20">
        <f>IF($B49="","",IF(COUNTIF(C49:H49,"Yes")=6,"Yes","No"))</f>
        <v/>
      </c>
    </row>
    <row r="50">
      <c r="B50" s="20">
        <f>IF(Cadets!$B11="","",Cadets!$F11)</f>
        <v/>
      </c>
      <c r="C50" s="16" t="n"/>
      <c r="D50" s="16" t="n"/>
      <c r="E50" s="16" t="n"/>
      <c r="F50" s="16" t="n"/>
      <c r="G50" s="16" t="n"/>
      <c r="H50" s="16" t="n"/>
      <c r="I50" s="20">
        <f>IF($B50="","",IF(COUNTIF(C50:H50,"Yes")=6,"Yes","No"))</f>
        <v/>
      </c>
    </row>
    <row r="51">
      <c r="B51" s="20">
        <f>IF(Cadets!$B12="","",Cadets!$F12)</f>
        <v/>
      </c>
      <c r="C51" s="16" t="n"/>
      <c r="D51" s="16" t="n"/>
      <c r="E51" s="16" t="n"/>
      <c r="F51" s="16" t="n"/>
      <c r="G51" s="16" t="n"/>
      <c r="H51" s="16" t="n"/>
      <c r="I51" s="20">
        <f>IF($B51="","",IF(COUNTIF(C51:H51,"Yes")=6,"Yes","No"))</f>
        <v/>
      </c>
    </row>
    <row r="52">
      <c r="B52" s="20">
        <f>IF(Cadets!$B13="","",Cadets!$F13)</f>
        <v/>
      </c>
      <c r="C52" s="16" t="n"/>
      <c r="D52" s="16" t="n"/>
      <c r="E52" s="16" t="n"/>
      <c r="F52" s="16" t="n"/>
      <c r="G52" s="16" t="n"/>
      <c r="H52" s="16" t="n"/>
      <c r="I52" s="20">
        <f>IF($B52="","",IF(COUNTIF(C52:H52,"Yes")=6,"Yes","No"))</f>
        <v/>
      </c>
    </row>
    <row r="53">
      <c r="B53" s="20">
        <f>IF(Cadets!$B14="","",Cadets!$F14)</f>
        <v/>
      </c>
      <c r="C53" s="16" t="n"/>
      <c r="D53" s="16" t="n"/>
      <c r="E53" s="16" t="n"/>
      <c r="F53" s="16" t="n"/>
      <c r="G53" s="16" t="n"/>
      <c r="H53" s="16" t="n"/>
      <c r="I53" s="20">
        <f>IF($B53="","",IF(COUNTIF(C53:H53,"Yes")=6,"Yes","No"))</f>
        <v/>
      </c>
    </row>
    <row r="54">
      <c r="B54" s="20">
        <f>IF(Cadets!$B15="","",Cadets!$F15)</f>
        <v/>
      </c>
      <c r="C54" s="16" t="n"/>
      <c r="D54" s="16" t="n"/>
      <c r="E54" s="16" t="n"/>
      <c r="F54" s="16" t="n"/>
      <c r="G54" s="16" t="n"/>
      <c r="H54" s="16" t="n"/>
      <c r="I54" s="20">
        <f>IF($B54="","",IF(COUNTIF(C54:H54,"Yes")=6,"Yes","No"))</f>
        <v/>
      </c>
    </row>
    <row r="55">
      <c r="B55" s="20">
        <f>IF(Cadets!$B16="","",Cadets!$F16)</f>
        <v/>
      </c>
      <c r="C55" s="16" t="n"/>
      <c r="D55" s="16" t="n"/>
      <c r="E55" s="16" t="n"/>
      <c r="F55" s="16" t="n"/>
      <c r="G55" s="16" t="n"/>
      <c r="H55" s="16" t="n"/>
      <c r="I55" s="20">
        <f>IF($B55="","",IF(COUNTIF(C55:H55,"Yes")=6,"Yes","No"))</f>
        <v/>
      </c>
    </row>
    <row r="56">
      <c r="B56" s="20">
        <f>IF(Cadets!$B17="","",Cadets!$F17)</f>
        <v/>
      </c>
      <c r="C56" s="16" t="n"/>
      <c r="D56" s="16" t="n"/>
      <c r="E56" s="16" t="n"/>
      <c r="F56" s="16" t="n"/>
      <c r="G56" s="16" t="n"/>
      <c r="H56" s="16" t="n"/>
      <c r="I56" s="20">
        <f>IF($B56="","",IF(COUNTIF(C56:H56,"Yes")=6,"Yes","No"))</f>
        <v/>
      </c>
    </row>
    <row r="57">
      <c r="B57" s="20">
        <f>IF(Cadets!$B18="","",Cadets!$F18)</f>
        <v/>
      </c>
      <c r="C57" s="16" t="n"/>
      <c r="D57" s="16" t="n"/>
      <c r="E57" s="16" t="n"/>
      <c r="F57" s="16" t="n"/>
      <c r="G57" s="16" t="n"/>
      <c r="H57" s="16" t="n"/>
      <c r="I57" s="20">
        <f>IF($B57="","",IF(COUNTIF(C57:H57,"Yes")=6,"Yes","No"))</f>
        <v/>
      </c>
    </row>
    <row r="58">
      <c r="B58" s="20">
        <f>IF(Cadets!$B19="","",Cadets!$F19)</f>
        <v/>
      </c>
      <c r="C58" s="16" t="n"/>
      <c r="D58" s="16" t="n"/>
      <c r="E58" s="16" t="n"/>
      <c r="F58" s="16" t="n"/>
      <c r="G58" s="16" t="n"/>
      <c r="H58" s="16" t="n"/>
      <c r="I58" s="20">
        <f>IF($B58="","",IF(COUNTIF(C58:H58,"Yes")=6,"Yes","No"))</f>
        <v/>
      </c>
    </row>
    <row r="59">
      <c r="B59" s="20">
        <f>IF(Cadets!$B20="","",Cadets!$F20)</f>
        <v/>
      </c>
      <c r="C59" s="16" t="n"/>
      <c r="D59" s="16" t="n"/>
      <c r="E59" s="16" t="n"/>
      <c r="F59" s="16" t="n"/>
      <c r="G59" s="16" t="n"/>
      <c r="H59" s="16" t="n"/>
      <c r="I59" s="20">
        <f>IF($B59="","",IF(COUNTIF(C59:H59,"Yes")=6,"Yes","No"))</f>
        <v/>
      </c>
    </row>
    <row r="60">
      <c r="B60" s="20">
        <f>IF(Cadets!$B21="","",Cadets!$F21)</f>
        <v/>
      </c>
      <c r="C60" s="16" t="n"/>
      <c r="D60" s="16" t="n"/>
      <c r="E60" s="16" t="n"/>
      <c r="F60" s="16" t="n"/>
      <c r="G60" s="16" t="n"/>
      <c r="H60" s="16" t="n"/>
      <c r="I60" s="20">
        <f>IF($B60="","",IF(COUNTIF(C60:H60,"Yes")=6,"Yes","No"))</f>
        <v/>
      </c>
    </row>
    <row r="61">
      <c r="B61" s="20">
        <f>IF(Cadets!$B22="","",Cadets!$F22)</f>
        <v/>
      </c>
      <c r="C61" s="16" t="n"/>
      <c r="D61" s="16" t="n"/>
      <c r="E61" s="16" t="n"/>
      <c r="F61" s="16" t="n"/>
      <c r="G61" s="16" t="n"/>
      <c r="H61" s="16" t="n"/>
      <c r="I61" s="20">
        <f>IF($B61="","",IF(COUNTIF(C61:H61,"Yes")=6,"Yes","No"))</f>
        <v/>
      </c>
    </row>
    <row r="62">
      <c r="B62" s="20">
        <f>IF(Cadets!$B23="","",Cadets!$F23)</f>
        <v/>
      </c>
      <c r="C62" s="16" t="n"/>
      <c r="D62" s="16" t="n"/>
      <c r="E62" s="16" t="n"/>
      <c r="F62" s="16" t="n"/>
      <c r="G62" s="16" t="n"/>
      <c r="H62" s="16" t="n"/>
      <c r="I62" s="20">
        <f>IF($B62="","",IF(COUNTIF(C62:H62,"Yes")=6,"Yes","No"))</f>
        <v/>
      </c>
    </row>
    <row r="63">
      <c r="B63" s="20">
        <f>IF(Cadets!$B24="","",Cadets!$F24)</f>
        <v/>
      </c>
      <c r="C63" s="16" t="n"/>
      <c r="D63" s="16" t="n"/>
      <c r="E63" s="16" t="n"/>
      <c r="F63" s="16" t="n"/>
      <c r="G63" s="16" t="n"/>
      <c r="H63" s="16" t="n"/>
      <c r="I63" s="20">
        <f>IF($B63="","",IF(COUNTIF(C63:H63,"Yes")=6,"Yes","No"))</f>
        <v/>
      </c>
    </row>
    <row r="64">
      <c r="B64" s="20">
        <f>IF(Cadets!$B25="","",Cadets!$F25)</f>
        <v/>
      </c>
      <c r="C64" s="16" t="n"/>
      <c r="D64" s="16" t="n"/>
      <c r="E64" s="16" t="n"/>
      <c r="F64" s="16" t="n"/>
      <c r="G64" s="16" t="n"/>
      <c r="H64" s="16" t="n"/>
      <c r="I64" s="20">
        <f>IF($B64="","",IF(COUNTIF(C64:H64,"Yes")=6,"Yes","No"))</f>
        <v/>
      </c>
    </row>
    <row r="65">
      <c r="B65" s="20">
        <f>IF(Cadets!$B26="","",Cadets!$F26)</f>
        <v/>
      </c>
      <c r="C65" s="16" t="n"/>
      <c r="D65" s="16" t="n"/>
      <c r="E65" s="16" t="n"/>
      <c r="F65" s="16" t="n"/>
      <c r="G65" s="16" t="n"/>
      <c r="H65" s="16" t="n"/>
      <c r="I65" s="20">
        <f>IF($B65="","",IF(COUNTIF(C65:H65,"Yes")=6,"Yes","No"))</f>
        <v/>
      </c>
    </row>
    <row r="66">
      <c r="B66" s="20">
        <f>IF(Cadets!$B27="","",Cadets!$F27)</f>
        <v/>
      </c>
      <c r="C66" s="16" t="n"/>
      <c r="D66" s="16" t="n"/>
      <c r="E66" s="16" t="n"/>
      <c r="F66" s="16" t="n"/>
      <c r="G66" s="16" t="n"/>
      <c r="H66" s="16" t="n"/>
      <c r="I66" s="20">
        <f>IF($B66="","",IF(COUNTIF(C66:H66,"Yes")=6,"Yes","No"))</f>
        <v/>
      </c>
    </row>
    <row r="67">
      <c r="B67" s="20">
        <f>IF(Cadets!$B28="","",Cadets!$F28)</f>
        <v/>
      </c>
      <c r="C67" s="16" t="n"/>
      <c r="D67" s="16" t="n"/>
      <c r="E67" s="16" t="n"/>
      <c r="F67" s="16" t="n"/>
      <c r="G67" s="16" t="n"/>
      <c r="H67" s="16" t="n"/>
      <c r="I67" s="20">
        <f>IF($B67="","",IF(COUNTIF(C67:H67,"Yes")=6,"Yes","No"))</f>
        <v/>
      </c>
    </row>
    <row r="68">
      <c r="B68" s="20">
        <f>IF(Cadets!$B29="","",Cadets!$F29)</f>
        <v/>
      </c>
      <c r="C68" s="16" t="n"/>
      <c r="D68" s="16" t="n"/>
      <c r="E68" s="16" t="n"/>
      <c r="F68" s="16" t="n"/>
      <c r="G68" s="16" t="n"/>
      <c r="H68" s="16" t="n"/>
      <c r="I68" s="20">
        <f>IF($B68="","",IF(COUNTIF(C68:H68,"Yes")=6,"Yes","No"))</f>
        <v/>
      </c>
    </row>
    <row r="69">
      <c r="B69" s="20">
        <f>IF(Cadets!$B30="","",Cadets!$F30)</f>
        <v/>
      </c>
      <c r="C69" s="16" t="n"/>
      <c r="D69" s="16" t="n"/>
      <c r="E69" s="16" t="n"/>
      <c r="F69" s="16" t="n"/>
      <c r="G69" s="16" t="n"/>
      <c r="H69" s="16" t="n"/>
      <c r="I69" s="20">
        <f>IF($B69="","",IF(COUNTIF(C69:H69,"Yes")=6,"Yes","No"))</f>
        <v/>
      </c>
    </row>
    <row r="70">
      <c r="B70" s="20">
        <f>IF(Cadets!$B31="","",Cadets!$F31)</f>
        <v/>
      </c>
      <c r="C70" s="16" t="n"/>
      <c r="D70" s="16" t="n"/>
      <c r="E70" s="16" t="n"/>
      <c r="F70" s="16" t="n"/>
      <c r="G70" s="16" t="n"/>
      <c r="H70" s="16" t="n"/>
      <c r="I70" s="20">
        <f>IF($B70="","",IF(COUNTIF(C70:H70,"Yes")=6,"Yes","No"))</f>
        <v/>
      </c>
    </row>
    <row r="71">
      <c r="B71" s="20">
        <f>IF(Cadets!$B32="","",Cadets!$F32)</f>
        <v/>
      </c>
      <c r="C71" s="16" t="n"/>
      <c r="D71" s="16" t="n"/>
      <c r="E71" s="16" t="n"/>
      <c r="F71" s="16" t="n"/>
      <c r="G71" s="16" t="n"/>
      <c r="H71" s="16" t="n"/>
      <c r="I71" s="20">
        <f>IF($B71="","",IF(COUNTIF(C71:H71,"Yes")=6,"Yes","No"))</f>
        <v/>
      </c>
    </row>
    <row r="72">
      <c r="B72" s="20">
        <f>IF(Cadets!$B33="","",Cadets!$F33)</f>
        <v/>
      </c>
      <c r="C72" s="16" t="n"/>
      <c r="D72" s="16" t="n"/>
      <c r="E72" s="16" t="n"/>
      <c r="F72" s="16" t="n"/>
      <c r="G72" s="16" t="n"/>
      <c r="H72" s="16" t="n"/>
      <c r="I72" s="20">
        <f>IF($B72="","",IF(COUNTIF(C72:H72,"Yes")=6,"Yes","No"))</f>
        <v/>
      </c>
    </row>
    <row r="73">
      <c r="B73" s="20">
        <f>IF(Cadets!$B34="","",Cadets!$F34)</f>
        <v/>
      </c>
      <c r="C73" s="16" t="n"/>
      <c r="D73" s="16" t="n"/>
      <c r="E73" s="16" t="n"/>
      <c r="F73" s="16" t="n"/>
      <c r="G73" s="16" t="n"/>
      <c r="H73" s="16" t="n"/>
      <c r="I73" s="20">
        <f>IF($B73="","",IF(COUNTIF(C73:H73,"Yes")=6,"Yes","No"))</f>
        <v/>
      </c>
    </row>
    <row r="74">
      <c r="B74" s="20">
        <f>IF(Cadets!$B35="","",Cadets!$F35)</f>
        <v/>
      </c>
      <c r="C74" s="16" t="n"/>
      <c r="D74" s="16" t="n"/>
      <c r="E74" s="16" t="n"/>
      <c r="F74" s="16" t="n"/>
      <c r="G74" s="16" t="n"/>
      <c r="H74" s="16" t="n"/>
      <c r="I74" s="20">
        <f>IF($B74="","",IF(COUNTIF(C74:H74,"Yes")=6,"Yes","No"))</f>
        <v/>
      </c>
    </row>
    <row r="75">
      <c r="B75" s="20">
        <f>IF(Cadets!$B36="","",Cadets!$F36)</f>
        <v/>
      </c>
      <c r="C75" s="16" t="n"/>
      <c r="D75" s="16" t="n"/>
      <c r="E75" s="16" t="n"/>
      <c r="F75" s="16" t="n"/>
      <c r="G75" s="16" t="n"/>
      <c r="H75" s="16" t="n"/>
      <c r="I75" s="20">
        <f>IF($B75="","",IF(COUNTIF(C75:H75,"Yes")=6,"Yes","No"))</f>
        <v/>
      </c>
    </row>
    <row r="76">
      <c r="B76" s="20">
        <f>IF(Cadets!$B37="","",Cadets!$F37)</f>
        <v/>
      </c>
      <c r="C76" s="16" t="n"/>
      <c r="D76" s="16" t="n"/>
      <c r="E76" s="16" t="n"/>
      <c r="F76" s="16" t="n"/>
      <c r="G76" s="16" t="n"/>
      <c r="H76" s="16" t="n"/>
      <c r="I76" s="20">
        <f>IF($B76="","",IF(COUNTIF(C76:H76,"Yes")=6,"Yes","No"))</f>
        <v/>
      </c>
    </row>
    <row r="77">
      <c r="B77" s="20">
        <f>IF(Cadets!$B38="","",Cadets!$F38)</f>
        <v/>
      </c>
      <c r="C77" s="16" t="n"/>
      <c r="D77" s="16" t="n"/>
      <c r="E77" s="16" t="n"/>
      <c r="F77" s="16" t="n"/>
      <c r="G77" s="16" t="n"/>
      <c r="H77" s="16" t="n"/>
      <c r="I77" s="20">
        <f>IF($B77="","",IF(COUNTIF(C77:H77,"Yes")=6,"Yes","No"))</f>
        <v/>
      </c>
    </row>
    <row r="78">
      <c r="B78" s="20">
        <f>IF(Cadets!$B39="","",Cadets!$F39)</f>
        <v/>
      </c>
      <c r="C78" s="16" t="n"/>
      <c r="D78" s="16" t="n"/>
      <c r="E78" s="16" t="n"/>
      <c r="F78" s="16" t="n"/>
      <c r="G78" s="16" t="n"/>
      <c r="H78" s="16" t="n"/>
      <c r="I78" s="20">
        <f>IF($B78="","",IF(COUNTIF(C78:H78,"Yes")=6,"Yes","No"))</f>
        <v/>
      </c>
    </row>
    <row r="79">
      <c r="B79" s="20">
        <f>IF(Cadets!$B40="","",Cadets!$F40)</f>
        <v/>
      </c>
      <c r="C79" s="16" t="n"/>
      <c r="D79" s="16" t="n"/>
      <c r="E79" s="16" t="n"/>
      <c r="F79" s="16" t="n"/>
      <c r="G79" s="16" t="n"/>
      <c r="H79" s="16" t="n"/>
      <c r="I79" s="20">
        <f>IF($B79="","",IF(COUNTIF(C79:H79,"Yes")=6,"Yes","No"))</f>
        <v/>
      </c>
    </row>
    <row r="80">
      <c r="B80" s="20">
        <f>IF(Cadets!$B41="","",Cadets!$F41)</f>
        <v/>
      </c>
      <c r="C80" s="16" t="n"/>
      <c r="D80" s="16" t="n"/>
      <c r="E80" s="16" t="n"/>
      <c r="F80" s="16" t="n"/>
      <c r="G80" s="16" t="n"/>
      <c r="H80" s="16" t="n"/>
      <c r="I80" s="20">
        <f>IF($B80="","",IF(COUNTIF(C80:H80,"Yes")=6,"Yes","No"))</f>
        <v/>
      </c>
    </row>
    <row r="81">
      <c r="B81" s="20">
        <f>IF(Cadets!$B42="","",Cadets!$F42)</f>
        <v/>
      </c>
      <c r="C81" s="16" t="n"/>
      <c r="D81" s="16" t="n"/>
      <c r="E81" s="16" t="n"/>
      <c r="F81" s="16" t="n"/>
      <c r="G81" s="16" t="n"/>
      <c r="H81" s="16" t="n"/>
      <c r="I81" s="20">
        <f>IF($B81="","",IF(COUNTIF(C81:H81,"Yes")=6,"Yes","No"))</f>
        <v/>
      </c>
    </row>
    <row r="82">
      <c r="B82" s="20">
        <f>IF(Cadets!$B43="","",Cadets!$F43)</f>
        <v/>
      </c>
      <c r="C82" s="16" t="n"/>
      <c r="D82" s="16" t="n"/>
      <c r="E82" s="16" t="n"/>
      <c r="F82" s="16" t="n"/>
      <c r="G82" s="16" t="n"/>
      <c r="H82" s="16" t="n"/>
      <c r="I82" s="20">
        <f>IF($B82="","",IF(COUNTIF(C82:H82,"Yes")=6,"Yes","No"))</f>
        <v/>
      </c>
    </row>
    <row r="83">
      <c r="B83" s="20">
        <f>IF(Cadets!$B44="","",Cadets!$F44)</f>
        <v/>
      </c>
      <c r="C83" s="16" t="n"/>
      <c r="D83" s="16" t="n"/>
      <c r="E83" s="16" t="n"/>
      <c r="F83" s="16" t="n"/>
      <c r="G83" s="16" t="n"/>
      <c r="H83" s="16" t="n"/>
      <c r="I83" s="20">
        <f>IF($B83="","",IF(COUNTIF(C83:H83,"Yes")=6,"Yes","No"))</f>
        <v/>
      </c>
    </row>
    <row r="84">
      <c r="B84" s="20">
        <f>IF(Cadets!$B45="","",Cadets!$F45)</f>
        <v/>
      </c>
      <c r="C84" s="16" t="n"/>
      <c r="D84" s="16" t="n"/>
      <c r="E84" s="16" t="n"/>
      <c r="F84" s="16" t="n"/>
      <c r="G84" s="16" t="n"/>
      <c r="H84" s="16" t="n"/>
      <c r="I84" s="20">
        <f>IF($B84="","",IF(COUNTIF(C84:H84,"Yes")=6,"Yes","No"))</f>
        <v/>
      </c>
    </row>
    <row r="85">
      <c r="B85" s="20">
        <f>IF(Cadets!$B46="","",Cadets!$F46)</f>
        <v/>
      </c>
      <c r="C85" s="16" t="n"/>
      <c r="D85" s="16" t="n"/>
      <c r="E85" s="16" t="n"/>
      <c r="F85" s="16" t="n"/>
      <c r="G85" s="16" t="n"/>
      <c r="H85" s="16" t="n"/>
      <c r="I85" s="20">
        <f>IF($B85="","",IF(COUNTIF(C85:H85,"Yes")=6,"Yes","No"))</f>
        <v/>
      </c>
    </row>
    <row r="86">
      <c r="B86" s="20">
        <f>IF(Cadets!$B47="","",Cadets!$F47)</f>
        <v/>
      </c>
      <c r="C86" s="16" t="n"/>
      <c r="D86" s="16" t="n"/>
      <c r="E86" s="16" t="n"/>
      <c r="F86" s="16" t="n"/>
      <c r="G86" s="16" t="n"/>
      <c r="H86" s="16" t="n"/>
      <c r="I86" s="20">
        <f>IF($B86="","",IF(COUNTIF(C86:H86,"Yes")=6,"Yes","No"))</f>
        <v/>
      </c>
    </row>
    <row r="87">
      <c r="B87" s="20">
        <f>IF(Cadets!$B48="","",Cadets!$F48)</f>
        <v/>
      </c>
      <c r="C87" s="16" t="n"/>
      <c r="D87" s="16" t="n"/>
      <c r="E87" s="16" t="n"/>
      <c r="F87" s="16" t="n"/>
      <c r="G87" s="16" t="n"/>
      <c r="H87" s="16" t="n"/>
      <c r="I87" s="20">
        <f>IF($B87="","",IF(COUNTIF(C87:H87,"Yes")=6,"Yes","No"))</f>
        <v/>
      </c>
    </row>
    <row r="88">
      <c r="B88" s="20">
        <f>IF(Cadets!$B49="","",Cadets!$F49)</f>
        <v/>
      </c>
      <c r="C88" s="16" t="n"/>
      <c r="D88" s="16" t="n"/>
      <c r="E88" s="16" t="n"/>
      <c r="F88" s="16" t="n"/>
      <c r="G88" s="16" t="n"/>
      <c r="H88" s="16" t="n"/>
      <c r="I88" s="20">
        <f>IF($B88="","",IF(COUNTIF(C88:H88,"Yes")=6,"Yes","No"))</f>
        <v/>
      </c>
    </row>
    <row r="89">
      <c r="B89" s="20">
        <f>IF(Cadets!$B50="","",Cadets!$F50)</f>
        <v/>
      </c>
      <c r="C89" s="16" t="n"/>
      <c r="D89" s="16" t="n"/>
      <c r="E89" s="16" t="n"/>
      <c r="F89" s="16" t="n"/>
      <c r="G89" s="16" t="n"/>
      <c r="H89" s="16" t="n"/>
      <c r="I89" s="20">
        <f>IF($B89="","",IF(COUNTIF(C89:H89,"Yes")=6,"Yes","No"))</f>
        <v/>
      </c>
    </row>
    <row r="90">
      <c r="B90" s="20">
        <f>IF(Cadets!$B51="","",Cadets!$F51)</f>
        <v/>
      </c>
      <c r="C90" s="16" t="n"/>
      <c r="D90" s="16" t="n"/>
      <c r="E90" s="16" t="n"/>
      <c r="F90" s="16" t="n"/>
      <c r="G90" s="16" t="n"/>
      <c r="H90" s="16" t="n"/>
      <c r="I90" s="20">
        <f>IF($B90="","",IF(COUNTIF(C90:H90,"Yes")=6,"Yes","No"))</f>
        <v/>
      </c>
    </row>
    <row r="91">
      <c r="B91" s="20">
        <f>IF(Cadets!$B52="","",Cadets!$F52)</f>
        <v/>
      </c>
      <c r="C91" s="16" t="n"/>
      <c r="D91" s="16" t="n"/>
      <c r="E91" s="16" t="n"/>
      <c r="F91" s="16" t="n"/>
      <c r="G91" s="16" t="n"/>
      <c r="H91" s="16" t="n"/>
      <c r="I91" s="20">
        <f>IF($B91="","",IF(COUNTIF(C91:H91,"Yes")=6,"Yes","No"))</f>
        <v/>
      </c>
    </row>
    <row r="92">
      <c r="B92" s="20">
        <f>IF(Cadets!$B53="","",Cadets!$F53)</f>
        <v/>
      </c>
      <c r="C92" s="16" t="n"/>
      <c r="D92" s="16" t="n"/>
      <c r="E92" s="16" t="n"/>
      <c r="F92" s="16" t="n"/>
      <c r="G92" s="16" t="n"/>
      <c r="H92" s="16" t="n"/>
      <c r="I92" s="20">
        <f>IF($B92="","",IF(COUNTIF(C92:H92,"Yes")=6,"Yes","No"))</f>
        <v/>
      </c>
    </row>
    <row r="93">
      <c r="B93" s="20">
        <f>IF(Cadets!$B54="","",Cadets!$F54)</f>
        <v/>
      </c>
      <c r="C93" s="16" t="n"/>
      <c r="D93" s="16" t="n"/>
      <c r="E93" s="16" t="n"/>
      <c r="F93" s="16" t="n"/>
      <c r="G93" s="16" t="n"/>
      <c r="H93" s="16" t="n"/>
      <c r="I93" s="20">
        <f>IF($B93="","",IF(COUNTIF(C93:H93,"Yes")=6,"Yes","No"))</f>
        <v/>
      </c>
    </row>
    <row r="94">
      <c r="B94" s="20">
        <f>IF(Cadets!$B55="","",Cadets!$F55)</f>
        <v/>
      </c>
      <c r="C94" s="16" t="n"/>
      <c r="D94" s="16" t="n"/>
      <c r="E94" s="16" t="n"/>
      <c r="F94" s="16" t="n"/>
      <c r="G94" s="16" t="n"/>
      <c r="H94" s="16" t="n"/>
      <c r="I94" s="20">
        <f>IF($B94="","",IF(COUNTIF(C94:H94,"Yes")=6,"Yes","No"))</f>
        <v/>
      </c>
    </row>
  </sheetData>
  <mergeCells count="19">
    <mergeCell ref="B40:E40"/>
    <mergeCell ref="B30:E30"/>
    <mergeCell ref="B24:H24"/>
    <mergeCell ref="B33:E33"/>
    <mergeCell ref="B36:E36"/>
    <mergeCell ref="B32:E32"/>
    <mergeCell ref="B41:E41"/>
    <mergeCell ref="B26:H26"/>
    <mergeCell ref="B35:E35"/>
    <mergeCell ref="B7:H7"/>
    <mergeCell ref="B25:H25"/>
    <mergeCell ref="B31:E31"/>
    <mergeCell ref="B43:H43"/>
    <mergeCell ref="B39:E39"/>
    <mergeCell ref="B38:E38"/>
    <mergeCell ref="B29:E29"/>
    <mergeCell ref="B37:E37"/>
    <mergeCell ref="B28:H28"/>
    <mergeCell ref="B34:E34"/>
  </mergeCells>
  <conditionalFormatting sqref="E9:E22">
    <cfRule type="expression" priority="1" dxfId="1">
      <formula>AND($E9&lt;&gt;"OK",$E9&lt;&gt;"")</formula>
    </cfRule>
    <cfRule type="expression" priority="2" dxfId="2">
      <formula>$E9="OK"</formula>
    </cfRule>
  </conditionalFormatting>
  <conditionalFormatting sqref="F30:F41">
    <cfRule type="expression" priority="3" dxfId="1">
      <formula>AND($B30&lt;&gt;"",$F30&lt;&gt;"Yes",$F30&lt;&gt;"N/A")</formula>
    </cfRule>
  </conditionalFormatting>
  <conditionalFormatting sqref="I45:I94">
    <cfRule type="cellIs" priority="4" operator="equal" dxfId="2">
      <formula>"Yes"</formula>
    </cfRule>
    <cfRule type="cellIs" priority="5" operator="equal" dxfId="1">
      <formula>"No"</formula>
    </cfRule>
  </conditionalFormatting>
  <dataValidations count="2">
    <dataValidation sqref="F30:F41" showDropDown="0" showInputMessage="0" showErrorMessage="1" allowBlank="1" type="list">
      <formula1>"Yes,No,N/A"</formula1>
    </dataValidation>
    <dataValidation sqref="C45:H9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8">
        <f>ChapterMaster!$C$6</f>
        <v/>
      </c>
      <c r="C9" s="28">
        <f>ChapterMaster!$D$6</f>
        <v/>
      </c>
      <c r="D9" s="29">
        <f>ChapterMaster!$E$6</f>
        <v/>
      </c>
      <c r="E9" s="29">
        <f>IF(ChapterMaster!$G6=0,"",ChapterMaster!$G6)</f>
        <v/>
      </c>
      <c r="F9" s="30">
        <f>IF(OR(ChapterMaster!$G6="",ChapterMaster!$G6=0),"",IF(ChapterMaster!$G6&gt;ChapterMaster!$E6,ROUND(ChapterMaster!$G6-ChapterMaster!$E6,2),""))</f>
        <v/>
      </c>
      <c r="G9" s="28">
        <f>IF($F9="","","#101 (Addendum to BPOC)")</f>
        <v/>
      </c>
    </row>
    <row r="10">
      <c r="B10" s="28">
        <f>ChapterMaster!$C$7</f>
        <v/>
      </c>
      <c r="C10" s="28">
        <f>ChapterMaster!$D$7</f>
        <v/>
      </c>
      <c r="D10" s="29">
        <f>ChapterMaster!$E$7</f>
        <v/>
      </c>
      <c r="E10" s="29">
        <f>IF(ChapterMaster!$G7=0,"",ChapterMaster!$G7)</f>
        <v/>
      </c>
      <c r="F10" s="30">
        <f>IF(OR(ChapterMaster!$G7="",ChapterMaster!$G7=0),"",IF(ChapterMaster!$G7&gt;ChapterMaster!$E7,ROUND(ChapterMaster!$G7-ChapterMaster!$E7,2),""))</f>
        <v/>
      </c>
      <c r="G10" s="28">
        <f>IF($F10="","","#101 (Addendum to BPOC)")</f>
        <v/>
      </c>
    </row>
    <row r="11">
      <c r="B11" s="28">
        <f>ChapterMaster!$C$8</f>
        <v/>
      </c>
      <c r="C11" s="28">
        <f>ChapterMaster!$D$8</f>
        <v/>
      </c>
      <c r="D11" s="29">
        <f>ChapterMaster!$E$8</f>
        <v/>
      </c>
      <c r="E11" s="29">
        <f>IF(ChapterMaster!$G8=0,"",ChapterMaster!$G8)</f>
        <v/>
      </c>
      <c r="F11" s="30">
        <f>IF(OR(ChapterMaster!$G8="",ChapterMaster!$G8=0),"",IF(ChapterMaster!$G8&gt;ChapterMaster!$E8,ROUND(ChapterMaster!$G8-ChapterMaster!$E8,2),""))</f>
        <v/>
      </c>
      <c r="G11" s="28">
        <f>IF($F11="","","#101 (Addendum to BPOC)")</f>
        <v/>
      </c>
    </row>
    <row r="12">
      <c r="B12" s="28">
        <f>ChapterMaster!$C$9</f>
        <v/>
      </c>
      <c r="C12" s="28">
        <f>ChapterMaster!$D$9</f>
        <v/>
      </c>
      <c r="D12" s="29">
        <f>ChapterMaster!$E$9</f>
        <v/>
      </c>
      <c r="E12" s="29">
        <f>IF(ChapterMaster!$G9=0,"",ChapterMaster!$G9)</f>
        <v/>
      </c>
      <c r="F12" s="30">
        <f>IF(OR(ChapterMaster!$G9="",ChapterMaster!$G9=0),"",IF(ChapterMaster!$G9&gt;ChapterMaster!$E9,ROUND(ChapterMaster!$G9-ChapterMaster!$E9,2),""))</f>
        <v/>
      </c>
      <c r="G12" s="28">
        <f>IF($F12="","","#101 (Addendum to BPOC)")</f>
        <v/>
      </c>
    </row>
    <row r="13">
      <c r="B13" s="28">
        <f>ChapterMaster!$C$10</f>
        <v/>
      </c>
      <c r="C13" s="28">
        <f>ChapterMaster!$D$10</f>
        <v/>
      </c>
      <c r="D13" s="29">
        <f>ChapterMaster!$E$10</f>
        <v/>
      </c>
      <c r="E13" s="29">
        <f>IF(ChapterMaster!$G10=0,"",ChapterMaster!$G10)</f>
        <v/>
      </c>
      <c r="F13" s="30">
        <f>IF(OR(ChapterMaster!$G10="",ChapterMaster!$G10=0),"",IF(ChapterMaster!$G10&gt;ChapterMaster!$E10,ROUND(ChapterMaster!$G10-ChapterMaster!$E10,2),""))</f>
        <v/>
      </c>
      <c r="G13" s="28">
        <f>IF($F13="","","#101 (Addendum to BPOC)")</f>
        <v/>
      </c>
    </row>
    <row r="14">
      <c r="B14" s="28">
        <f>ChapterMaster!$C$11</f>
        <v/>
      </c>
      <c r="C14" s="28">
        <f>ChapterMaster!$D$11</f>
        <v/>
      </c>
      <c r="D14" s="29">
        <f>ChapterMaster!$E$11</f>
        <v/>
      </c>
      <c r="E14" s="29">
        <f>IF(ChapterMaster!$G11=0,"",ChapterMaster!$G11)</f>
        <v/>
      </c>
      <c r="F14" s="30">
        <f>IF(OR(ChapterMaster!$G11="",ChapterMaster!$G11=0),"",IF(ChapterMaster!$G11&gt;ChapterMaster!$E11,ROUND(ChapterMaster!$G11-ChapterMaster!$E11,2),""))</f>
        <v/>
      </c>
      <c r="G14" s="28">
        <f>IF($F14="","","#101 (Addendum to BPOC)")</f>
        <v/>
      </c>
    </row>
    <row r="15">
      <c r="B15" s="28">
        <f>ChapterMaster!$C$12</f>
        <v/>
      </c>
      <c r="C15" s="28">
        <f>ChapterMaster!$D$12</f>
        <v/>
      </c>
      <c r="D15" s="29">
        <f>ChapterMaster!$E$12</f>
        <v/>
      </c>
      <c r="E15" s="29">
        <f>IF(ChapterMaster!$G12=0,"",ChapterMaster!$G12)</f>
        <v/>
      </c>
      <c r="F15" s="30">
        <f>IF(OR(ChapterMaster!$G12="",ChapterMaster!$G12=0),"",IF(ChapterMaster!$G12&gt;ChapterMaster!$E12,ROUND(ChapterMaster!$G12-ChapterMaster!$E12,2),""))</f>
        <v/>
      </c>
      <c r="G15" s="28">
        <f>IF($F15="","","#101 (Addendum to BPOC)")</f>
        <v/>
      </c>
    </row>
    <row r="16">
      <c r="B16" s="28">
        <f>ChapterMaster!$C$13</f>
        <v/>
      </c>
      <c r="C16" s="28">
        <f>ChapterMaster!$D$13</f>
        <v/>
      </c>
      <c r="D16" s="29">
        <f>ChapterMaster!$E$13</f>
        <v/>
      </c>
      <c r="E16" s="29">
        <f>IF(ChapterMaster!$G13=0,"",ChapterMaster!$G13)</f>
        <v/>
      </c>
      <c r="F16" s="30">
        <f>IF(OR(ChapterMaster!$G13="",ChapterMaster!$G13=0),"",IF(ChapterMaster!$G13&gt;ChapterMaster!$E13,ROUND(ChapterMaster!$G13-ChapterMaster!$E13,2),""))</f>
        <v/>
      </c>
      <c r="G16" s="28">
        <f>IF($F16="","","#101 (Addendum to BPOC)")</f>
        <v/>
      </c>
    </row>
    <row r="17">
      <c r="B17" s="28">
        <f>ChapterMaster!$C$14</f>
        <v/>
      </c>
      <c r="C17" s="28">
        <f>ChapterMaster!$D$14</f>
        <v/>
      </c>
      <c r="D17" s="29">
        <f>ChapterMaster!$E$14</f>
        <v/>
      </c>
      <c r="E17" s="29">
        <f>IF(ChapterMaster!$G14=0,"",ChapterMaster!$G14)</f>
        <v/>
      </c>
      <c r="F17" s="30">
        <f>IF(OR(ChapterMaster!$G14="",ChapterMaster!$G14=0),"",IF(ChapterMaster!$G14&gt;ChapterMaster!$E14,ROUND(ChapterMaster!$G14-ChapterMaster!$E14,2),""))</f>
        <v/>
      </c>
      <c r="G17" s="28">
        <f>IF($F17="","","#101 (Addendum to BPOC)")</f>
        <v/>
      </c>
    </row>
    <row r="18">
      <c r="B18" s="28">
        <f>ChapterMaster!$C$15</f>
        <v/>
      </c>
      <c r="C18" s="28">
        <f>ChapterMaster!$D$15</f>
        <v/>
      </c>
      <c r="D18" s="29">
        <f>ChapterMaster!$E$15</f>
        <v/>
      </c>
      <c r="E18" s="29">
        <f>IF(ChapterMaster!$G15=0,"",ChapterMaster!$G15)</f>
        <v/>
      </c>
      <c r="F18" s="30">
        <f>IF(OR(ChapterMaster!$G15="",ChapterMaster!$G15=0),"",IF(ChapterMaster!$G15&gt;ChapterMaster!$E15,ROUND(ChapterMaster!$G15-ChapterMaster!$E15,2),""))</f>
        <v/>
      </c>
      <c r="G18" s="28">
        <f>IF($F18="","","#101 (Addendum to BPOC)")</f>
        <v/>
      </c>
    </row>
    <row r="19">
      <c r="B19" s="28">
        <f>ChapterMaster!$C$16</f>
        <v/>
      </c>
      <c r="C19" s="28">
        <f>ChapterMaster!$D$16</f>
        <v/>
      </c>
      <c r="D19" s="29">
        <f>ChapterMaster!$E$16</f>
        <v/>
      </c>
      <c r="E19" s="29">
        <f>IF(ChapterMaster!$G16=0,"",ChapterMaster!$G16)</f>
        <v/>
      </c>
      <c r="F19" s="30">
        <f>IF(OR(ChapterMaster!$G16="",ChapterMaster!$G16=0),"",IF(ChapterMaster!$G16&gt;ChapterMaster!$E16,ROUND(ChapterMaster!$G16-ChapterMaster!$E16,2),""))</f>
        <v/>
      </c>
      <c r="G19" s="28">
        <f>IF($F19="","","#101 (Addendum to BPOC)")</f>
        <v/>
      </c>
    </row>
    <row r="20">
      <c r="B20" s="28">
        <f>ChapterMaster!$C$17</f>
        <v/>
      </c>
      <c r="C20" s="28">
        <f>ChapterMaster!$D$17</f>
        <v/>
      </c>
      <c r="D20" s="29">
        <f>ChapterMaster!$E$17</f>
        <v/>
      </c>
      <c r="E20" s="29">
        <f>IF(ChapterMaster!$G17=0,"",ChapterMaster!$G17)</f>
        <v/>
      </c>
      <c r="F20" s="30">
        <f>IF(OR(ChapterMaster!$G17="",ChapterMaster!$G17=0),"",IF(ChapterMaster!$G17&gt;ChapterMaster!$E17,ROUND(ChapterMaster!$G17-ChapterMaster!$E17,2),""))</f>
        <v/>
      </c>
      <c r="G20" s="28">
        <f>IF($F20="","","#101 (Addendum to BPOC)")</f>
        <v/>
      </c>
    </row>
    <row r="21">
      <c r="B21" s="28">
        <f>ChapterMaster!$C$18</f>
        <v/>
      </c>
      <c r="C21" s="28">
        <f>ChapterMaster!$D$18</f>
        <v/>
      </c>
      <c r="D21" s="29">
        <f>ChapterMaster!$E$18</f>
        <v/>
      </c>
      <c r="E21" s="29">
        <f>IF(ChapterMaster!$G18=0,"",ChapterMaster!$G18)</f>
        <v/>
      </c>
      <c r="F21" s="30">
        <f>IF(OR(ChapterMaster!$G18="",ChapterMaster!$G18=0),"",IF(ChapterMaster!$G18&gt;ChapterMaster!$E18,ROUND(ChapterMaster!$G18-ChapterMaster!$E18,2),""))</f>
        <v/>
      </c>
      <c r="G21" s="28">
        <f>IF($F21="","","#101 (Addendum to BPOC)")</f>
        <v/>
      </c>
    </row>
    <row r="22">
      <c r="B22" s="28">
        <f>ChapterMaster!$C$19</f>
        <v/>
      </c>
      <c r="C22" s="28">
        <f>ChapterMaster!$D$19</f>
        <v/>
      </c>
      <c r="D22" s="29">
        <f>ChapterMaster!$E$19</f>
        <v/>
      </c>
      <c r="E22" s="29">
        <f>IF(ChapterMaster!$G19=0,"",ChapterMaster!$G19)</f>
        <v/>
      </c>
      <c r="F22" s="30">
        <f>IF(OR(ChapterMaster!$G19="",ChapterMaster!$G19=0),"",IF(ChapterMaster!$G19&gt;ChapterMaster!$E19,ROUND(ChapterMaster!$G19-ChapterMaster!$E19,2),""))</f>
        <v/>
      </c>
      <c r="G22" s="28">
        <f>IF($F22="","","#101 (Addendum to BPOC)")</f>
        <v/>
      </c>
    </row>
    <row r="23">
      <c r="B23" s="28">
        <f>ChapterMaster!$C$20</f>
        <v/>
      </c>
      <c r="C23" s="28">
        <f>ChapterMaster!$D$20</f>
        <v/>
      </c>
      <c r="D23" s="29">
        <f>ChapterMaster!$E$20</f>
        <v/>
      </c>
      <c r="E23" s="29">
        <f>IF(ChapterMaster!$G20=0,"",ChapterMaster!$G20)</f>
        <v/>
      </c>
      <c r="F23" s="30">
        <f>IF(OR(ChapterMaster!$G20="",ChapterMaster!$G20=0),"",IF(ChapterMaster!$G20&gt;ChapterMaster!$E20,ROUND(ChapterMaster!$G20-ChapterMaster!$E20,2),""))</f>
        <v/>
      </c>
      <c r="G23" s="28">
        <f>IF($F23="","","#101 (Addendum to BPOC)")</f>
        <v/>
      </c>
    </row>
    <row r="24">
      <c r="B24" s="28">
        <f>ChapterMaster!$C$21</f>
        <v/>
      </c>
      <c r="C24" s="28">
        <f>ChapterMaster!$D$21</f>
        <v/>
      </c>
      <c r="D24" s="29">
        <f>ChapterMaster!$E$21</f>
        <v/>
      </c>
      <c r="E24" s="29">
        <f>IF(ChapterMaster!$G21=0,"",ChapterMaster!$G21)</f>
        <v/>
      </c>
      <c r="F24" s="30">
        <f>IF(OR(ChapterMaster!$G21="",ChapterMaster!$G21=0),"",IF(ChapterMaster!$G21&gt;ChapterMaster!$E21,ROUND(ChapterMaster!$G21-ChapterMaster!$E21,2),""))</f>
        <v/>
      </c>
      <c r="G24" s="28">
        <f>IF($F24="","","#101 (Addendum to BPOC)")</f>
        <v/>
      </c>
    </row>
    <row r="25">
      <c r="B25" s="28">
        <f>ChapterMaster!$C$22</f>
        <v/>
      </c>
      <c r="C25" s="28">
        <f>ChapterMaster!$D$22</f>
        <v/>
      </c>
      <c r="D25" s="29">
        <f>ChapterMaster!$E$22</f>
        <v/>
      </c>
      <c r="E25" s="29">
        <f>IF(ChapterMaster!$G22=0,"",ChapterMaster!$G22)</f>
        <v/>
      </c>
      <c r="F25" s="30">
        <f>IF(OR(ChapterMaster!$G22="",ChapterMaster!$G22=0),"",IF(ChapterMaster!$G22&gt;ChapterMaster!$E22,ROUND(ChapterMaster!$G22-ChapterMaster!$E22,2),""))</f>
        <v/>
      </c>
      <c r="G25" s="28">
        <f>IF($F25="","","#101 (Addendum to BPOC)")</f>
        <v/>
      </c>
    </row>
    <row r="26">
      <c r="B26" s="28">
        <f>ChapterMaster!$C$23</f>
        <v/>
      </c>
      <c r="C26" s="28">
        <f>ChapterMaster!$D$23</f>
        <v/>
      </c>
      <c r="D26" s="29">
        <f>ChapterMaster!$E$23</f>
        <v/>
      </c>
      <c r="E26" s="29">
        <f>IF(ChapterMaster!$G23=0,"",ChapterMaster!$G23)</f>
        <v/>
      </c>
      <c r="F26" s="30">
        <f>IF(OR(ChapterMaster!$G23="",ChapterMaster!$G23=0),"",IF(ChapterMaster!$G23&gt;ChapterMaster!$E23,ROUND(ChapterMaster!$G23-ChapterMaster!$E23,2),""))</f>
        <v/>
      </c>
      <c r="G26" s="28">
        <f>IF($F26="","","#101 (Addendum to BPOC)")</f>
        <v/>
      </c>
    </row>
    <row r="27">
      <c r="B27" s="28">
        <f>ChapterMaster!$C$24</f>
        <v/>
      </c>
      <c r="C27" s="28">
        <f>ChapterMaster!$D$24</f>
        <v/>
      </c>
      <c r="D27" s="29">
        <f>ChapterMaster!$E$24</f>
        <v/>
      </c>
      <c r="E27" s="29">
        <f>IF(ChapterMaster!$G24=0,"",ChapterMaster!$G24)</f>
        <v/>
      </c>
      <c r="F27" s="30">
        <f>IF(OR(ChapterMaster!$G24="",ChapterMaster!$G24=0),"",IF(ChapterMaster!$G24&gt;ChapterMaster!$E24,ROUND(ChapterMaster!$G24-ChapterMaster!$E24,2),""))</f>
        <v/>
      </c>
      <c r="G27" s="28">
        <f>IF($F27="","","#101 (Addendum to BPOC)")</f>
        <v/>
      </c>
    </row>
    <row r="28">
      <c r="B28" s="28">
        <f>ChapterMaster!$C$25</f>
        <v/>
      </c>
      <c r="C28" s="28">
        <f>ChapterMaster!$D$25</f>
        <v/>
      </c>
      <c r="D28" s="29">
        <f>ChapterMaster!$E$25</f>
        <v/>
      </c>
      <c r="E28" s="29">
        <f>IF(ChapterMaster!$G25=0,"",ChapterMaster!$G25)</f>
        <v/>
      </c>
      <c r="F28" s="30">
        <f>IF(OR(ChapterMaster!$G25="",ChapterMaster!$G25=0),"",IF(ChapterMaster!$G25&gt;ChapterMaster!$E25,ROUND(ChapterMaster!$G25-ChapterMaster!$E25,2),""))</f>
        <v/>
      </c>
      <c r="G28" s="28">
        <f>IF($F28="","","#101 (Addendum to BPOC)")</f>
        <v/>
      </c>
    </row>
    <row r="29">
      <c r="B29" s="28">
        <f>ChapterMaster!$C$26</f>
        <v/>
      </c>
      <c r="C29" s="28">
        <f>ChapterMaster!$D$26</f>
        <v/>
      </c>
      <c r="D29" s="29">
        <f>ChapterMaster!$E$26</f>
        <v/>
      </c>
      <c r="E29" s="29">
        <f>IF(ChapterMaster!$G26=0,"",ChapterMaster!$G26)</f>
        <v/>
      </c>
      <c r="F29" s="30">
        <f>IF(OR(ChapterMaster!$G26="",ChapterMaster!$G26=0),"",IF(ChapterMaster!$G26&gt;ChapterMaster!$E26,ROUND(ChapterMaster!$G26-ChapterMaster!$E26,2),""))</f>
        <v/>
      </c>
      <c r="G29" s="28">
        <f>IF($F29="","","#101 (Addendum to BPOC)")</f>
        <v/>
      </c>
    </row>
    <row r="30">
      <c r="B30" s="28">
        <f>ChapterMaster!$C$27</f>
        <v/>
      </c>
      <c r="C30" s="28">
        <f>ChapterMaster!$D$27</f>
        <v/>
      </c>
      <c r="D30" s="29">
        <f>ChapterMaster!$E$27</f>
        <v/>
      </c>
      <c r="E30" s="29">
        <f>IF(ChapterMaster!$G27=0,"",ChapterMaster!$G27)</f>
        <v/>
      </c>
      <c r="F30" s="30">
        <f>IF(OR(ChapterMaster!$G27="",ChapterMaster!$G27=0),"",IF(ChapterMaster!$G27&gt;ChapterMaster!$E27,ROUND(ChapterMaster!$G27-ChapterMaster!$E27,2),""))</f>
        <v/>
      </c>
      <c r="G30" s="28">
        <f>IF($F30="","","#101 (Addendum to BPOC)")</f>
        <v/>
      </c>
    </row>
    <row r="31">
      <c r="B31" s="28">
        <f>ChapterMaster!$C$28</f>
        <v/>
      </c>
      <c r="C31" s="28">
        <f>ChapterMaster!$D$28</f>
        <v/>
      </c>
      <c r="D31" s="29">
        <f>ChapterMaster!$E$28</f>
        <v/>
      </c>
      <c r="E31" s="29">
        <f>IF(ChapterMaster!$G28=0,"",ChapterMaster!$G28)</f>
        <v/>
      </c>
      <c r="F31" s="30">
        <f>IF(OR(ChapterMaster!$G28="",ChapterMaster!$G28=0),"",IF(ChapterMaster!$G28&gt;ChapterMaster!$E28,ROUND(ChapterMaster!$G28-ChapterMaster!$E28,2),""))</f>
        <v/>
      </c>
      <c r="G31" s="28">
        <f>IF($F31="","","#101 (Addendum to BPOC)")</f>
        <v/>
      </c>
    </row>
    <row r="32">
      <c r="B32" s="28">
        <f>ChapterMaster!$C$29</f>
        <v/>
      </c>
      <c r="C32" s="28">
        <f>ChapterMaster!$D$29</f>
        <v/>
      </c>
      <c r="D32" s="29">
        <f>ChapterMaster!$E$29</f>
        <v/>
      </c>
      <c r="E32" s="29">
        <f>IF(ChapterMaster!$G29=0,"",ChapterMaster!$G29)</f>
        <v/>
      </c>
      <c r="F32" s="30">
        <f>IF(OR(ChapterMaster!$G29="",ChapterMaster!$G29=0),"",IF(ChapterMaster!$G29&gt;ChapterMaster!$E29,ROUND(ChapterMaster!$G29-ChapterMaster!$E29,2),""))</f>
        <v/>
      </c>
      <c r="G32" s="28">
        <f>IF($F32="","","#101 (Addendum to BPOC)")</f>
        <v/>
      </c>
    </row>
    <row r="33">
      <c r="B33" s="28">
        <f>ChapterMaster!$C$30</f>
        <v/>
      </c>
      <c r="C33" s="28">
        <f>ChapterMaster!$D$30</f>
        <v/>
      </c>
      <c r="D33" s="29">
        <f>ChapterMaster!$E$30</f>
        <v/>
      </c>
      <c r="E33" s="29">
        <f>IF(ChapterMaster!$G30=0,"",ChapterMaster!$G30)</f>
        <v/>
      </c>
      <c r="F33" s="30">
        <f>IF(OR(ChapterMaster!$G30="",ChapterMaster!$G30=0),"",IF(ChapterMaster!$G30&gt;ChapterMaster!$E30,ROUND(ChapterMaster!$G30-ChapterMaster!$E30,2),""))</f>
        <v/>
      </c>
      <c r="G33" s="28">
        <f>IF($F33="","","#101 (Addendum to BPOC)")</f>
        <v/>
      </c>
    </row>
    <row r="34">
      <c r="B34" s="28">
        <f>ChapterMaster!$C$31</f>
        <v/>
      </c>
      <c r="C34" s="28">
        <f>ChapterMaster!$D$31</f>
        <v/>
      </c>
      <c r="D34" s="29">
        <f>ChapterMaster!$E$31</f>
        <v/>
      </c>
      <c r="E34" s="29">
        <f>IF(ChapterMaster!$G31=0,"",ChapterMaster!$G31)</f>
        <v/>
      </c>
      <c r="F34" s="30">
        <f>IF(OR(ChapterMaster!$G31="",ChapterMaster!$G31=0),"",IF(ChapterMaster!$G31&gt;ChapterMaster!$E31,ROUND(ChapterMaster!$G31-ChapterMaster!$E31,2),""))</f>
        <v/>
      </c>
      <c r="G34" s="28">
        <f>IF($F34="","","#101 (Addendum to BPOC)")</f>
        <v/>
      </c>
    </row>
    <row r="35">
      <c r="B35" s="28">
        <f>ChapterMaster!$C$32</f>
        <v/>
      </c>
      <c r="C35" s="28">
        <f>ChapterMaster!$D$32</f>
        <v/>
      </c>
      <c r="D35" s="29">
        <f>ChapterMaster!$E$32</f>
        <v/>
      </c>
      <c r="E35" s="29">
        <f>IF(ChapterMaster!$G32=0,"",ChapterMaster!$G32)</f>
        <v/>
      </c>
      <c r="F35" s="30">
        <f>IF(OR(ChapterMaster!$G32="",ChapterMaster!$G32=0),"",IF(ChapterMaster!$G32&gt;ChapterMaster!$E32,ROUND(ChapterMaster!$G32-ChapterMaster!$E32,2),""))</f>
        <v/>
      </c>
      <c r="G35" s="28">
        <f>IF($F35="","","#101 (Addendum to BPOC)")</f>
        <v/>
      </c>
    </row>
    <row r="36">
      <c r="B36" s="28">
        <f>ChapterMaster!$C$33</f>
        <v/>
      </c>
      <c r="C36" s="28">
        <f>ChapterMaster!$D$33</f>
        <v/>
      </c>
      <c r="D36" s="29">
        <f>ChapterMaster!$E$33</f>
        <v/>
      </c>
      <c r="E36" s="29">
        <f>IF(ChapterMaster!$G33=0,"",ChapterMaster!$G33)</f>
        <v/>
      </c>
      <c r="F36" s="30">
        <f>IF(OR(ChapterMaster!$G33="",ChapterMaster!$G33=0),"",IF(ChapterMaster!$G33&gt;ChapterMaster!$E33,ROUND(ChapterMaster!$G33-ChapterMaster!$E33,2),""))</f>
        <v/>
      </c>
      <c r="G36" s="28">
        <f>IF($F36="","","#101 (Addendum to BPOC)")</f>
        <v/>
      </c>
    </row>
    <row r="37">
      <c r="B37" s="28">
        <f>ChapterMaster!$C$34</f>
        <v/>
      </c>
      <c r="C37" s="28">
        <f>ChapterMaster!$D$34</f>
        <v/>
      </c>
      <c r="D37" s="29">
        <f>ChapterMaster!$E$34</f>
        <v/>
      </c>
      <c r="E37" s="29">
        <f>IF(ChapterMaster!$G34=0,"",ChapterMaster!$G34)</f>
        <v/>
      </c>
      <c r="F37" s="30">
        <f>IF(OR(ChapterMaster!$G34="",ChapterMaster!$G34=0),"",IF(ChapterMaster!$G34&gt;ChapterMaster!$E34,ROUND(ChapterMaster!$G34-ChapterMaster!$E34,2),""))</f>
        <v/>
      </c>
      <c r="G37" s="28">
        <f>IF($F37="","","#101 (Addendum to BPOC)")</f>
        <v/>
      </c>
    </row>
    <row r="38">
      <c r="B38" s="28">
        <f>ChapterMaster!$C$35</f>
        <v/>
      </c>
      <c r="C38" s="28">
        <f>ChapterMaster!$D$35</f>
        <v/>
      </c>
      <c r="D38" s="29">
        <f>ChapterMaster!$E$35</f>
        <v/>
      </c>
      <c r="E38" s="29">
        <f>IF(ChapterMaster!$G35=0,"",ChapterMaster!$G35)</f>
        <v/>
      </c>
      <c r="F38" s="30">
        <f>IF(OR(ChapterMaster!$G35="",ChapterMaster!$G35=0),"",IF(ChapterMaster!$G35&gt;ChapterMaster!$E35,ROUND(ChapterMaster!$G35-ChapterMaster!$E35,2),""))</f>
        <v/>
      </c>
      <c r="G38" s="28">
        <f>IF($F38="","","#101 (Addendum to BPOC)")</f>
        <v/>
      </c>
    </row>
    <row r="39">
      <c r="B39" s="28">
        <f>ChapterMaster!$C$36</f>
        <v/>
      </c>
      <c r="C39" s="28">
        <f>ChapterMaster!$D$36</f>
        <v/>
      </c>
      <c r="D39" s="29">
        <f>ChapterMaster!$E$36</f>
        <v/>
      </c>
      <c r="E39" s="29">
        <f>IF(ChapterMaster!$G36=0,"",ChapterMaster!$G36)</f>
        <v/>
      </c>
      <c r="F39" s="30">
        <f>IF(OR(ChapterMaster!$G36="",ChapterMaster!$G36=0),"",IF(ChapterMaster!$G36&gt;ChapterMaster!$E36,ROUND(ChapterMaster!$G36-ChapterMaster!$E36,2),""))</f>
        <v/>
      </c>
      <c r="G39" s="28">
        <f>IF($F39="","","#101 (Addendum to BPOC)")</f>
        <v/>
      </c>
    </row>
    <row r="40">
      <c r="B40" s="28">
        <f>ChapterMaster!$C$37</f>
        <v/>
      </c>
      <c r="C40" s="28">
        <f>ChapterMaster!$D$37</f>
        <v/>
      </c>
      <c r="D40" s="29">
        <f>ChapterMaster!$E$37</f>
        <v/>
      </c>
      <c r="E40" s="29">
        <f>IF(ChapterMaster!$G37=0,"",ChapterMaster!$G37)</f>
        <v/>
      </c>
      <c r="F40" s="30">
        <f>IF(OR(ChapterMaster!$G37="",ChapterMaster!$G37=0),"",IF(ChapterMaster!$G37&gt;ChapterMaster!$E37,ROUND(ChapterMaster!$G37-ChapterMaster!$E37,2),""))</f>
        <v/>
      </c>
      <c r="G40" s="28">
        <f>IF($F40="","","#2040 (Arrest and Control)")</f>
        <v/>
      </c>
    </row>
    <row r="41">
      <c r="B41" s="28">
        <f>ChapterMaster!$C$38</f>
        <v/>
      </c>
      <c r="C41" s="28">
        <f>ChapterMaster!$D$38</f>
        <v/>
      </c>
      <c r="D41" s="29">
        <f>ChapterMaster!$E$38</f>
        <v/>
      </c>
      <c r="E41" s="29">
        <f>IF(ChapterMaster!$G38=0,"",ChapterMaster!$G38)</f>
        <v/>
      </c>
      <c r="F41" s="30">
        <f>IF(OR(ChapterMaster!$G38="",ChapterMaster!$G38=0),"",IF(ChapterMaster!$G38&gt;ChapterMaster!$E38,ROUND(ChapterMaster!$G38-ChapterMaster!$E38,2),""))</f>
        <v/>
      </c>
      <c r="G41" s="28">
        <f>IF($F41="","","#101 (Addendum to BPOC)")</f>
        <v/>
      </c>
    </row>
    <row r="42">
      <c r="B42" s="28">
        <f>ChapterMaster!$C$39</f>
        <v/>
      </c>
      <c r="C42" s="28">
        <f>ChapterMaster!$D$39</f>
        <v/>
      </c>
      <c r="D42" s="29">
        <f>ChapterMaster!$E$39</f>
        <v/>
      </c>
      <c r="E42" s="29">
        <f>IF(ChapterMaster!$G39=0,"",ChapterMaster!$G39)</f>
        <v/>
      </c>
      <c r="F42" s="30">
        <f>IF(OR(ChapterMaster!$G39="",ChapterMaster!$G39=0),"",IF(ChapterMaster!$G39&gt;ChapterMaster!$E39,ROUND(ChapterMaster!$G39-ChapterMaster!$E39,2),""))</f>
        <v/>
      </c>
      <c r="G42" s="28">
        <f>IF($F42="","","#101 (Addendum to BPOC)")</f>
        <v/>
      </c>
    </row>
    <row r="43">
      <c r="B43" s="28">
        <f>ChapterMaster!$C$40</f>
        <v/>
      </c>
      <c r="C43" s="28">
        <f>ChapterMaster!$D$40</f>
        <v/>
      </c>
      <c r="D43" s="29">
        <f>ChapterMaster!$E$40</f>
        <v/>
      </c>
      <c r="E43" s="29">
        <f>IF(ChapterMaster!$G40=0,"",ChapterMaster!$G40)</f>
        <v/>
      </c>
      <c r="F43" s="30">
        <f>IF(OR(ChapterMaster!$G40="",ChapterMaster!$G40=0),"",IF(ChapterMaster!$G40&gt;ChapterMaster!$E40,ROUND(ChapterMaster!$G40-ChapterMaster!$E40,2),""))</f>
        <v/>
      </c>
      <c r="G43" s="28">
        <f>IF($F43="","","#2046 (Professional Police Driving)")</f>
        <v/>
      </c>
    </row>
    <row r="44">
      <c r="B44" s="28">
        <f>ChapterMaster!$C$41</f>
        <v/>
      </c>
      <c r="C44" s="28">
        <f>ChapterMaster!$D$41</f>
        <v/>
      </c>
      <c r="D44" s="29">
        <f>ChapterMaster!$E$41</f>
        <v/>
      </c>
      <c r="E44" s="29">
        <f>IF(ChapterMaster!$G41=0,"",ChapterMaster!$G41)</f>
        <v/>
      </c>
      <c r="F44" s="30">
        <f>IF(OR(ChapterMaster!$G41="",ChapterMaster!$G41=0),"",IF(ChapterMaster!$G41&gt;ChapterMaster!$E41,ROUND(ChapterMaster!$G41-ChapterMaster!$E41,2),""))</f>
        <v/>
      </c>
      <c r="G44" s="28">
        <f>IF($F44="","","#101 (Addendum to BPOC)")</f>
        <v/>
      </c>
    </row>
    <row r="45">
      <c r="B45" s="28">
        <f>ChapterMaster!$C$42</f>
        <v/>
      </c>
      <c r="C45" s="28">
        <f>ChapterMaster!$D$42</f>
        <v/>
      </c>
      <c r="D45" s="29">
        <f>ChapterMaster!$E$42</f>
        <v/>
      </c>
      <c r="E45" s="29">
        <f>IF(ChapterMaster!$G42=0,"",ChapterMaster!$G42)</f>
        <v/>
      </c>
      <c r="F45" s="30">
        <f>IF(OR(ChapterMaster!$G42="",ChapterMaster!$G42=0),"",IF(ChapterMaster!$G42&gt;ChapterMaster!$E42,ROUND(ChapterMaster!$G42-ChapterMaster!$E42,2),""))</f>
        <v/>
      </c>
      <c r="G45" s="28">
        <f>IF($F45="","","#101 (Addendum to BPOC)")</f>
        <v/>
      </c>
    </row>
    <row r="46">
      <c r="B46" s="28">
        <f>ChapterMaster!$C$43</f>
        <v/>
      </c>
      <c r="C46" s="28">
        <f>ChapterMaster!$D$43</f>
        <v/>
      </c>
      <c r="D46" s="29">
        <f>ChapterMaster!$E$43</f>
        <v/>
      </c>
      <c r="E46" s="29">
        <f>IF(ChapterMaster!$G43=0,"",ChapterMaster!$G43)</f>
        <v/>
      </c>
      <c r="F46" s="30">
        <f>IF(OR(ChapterMaster!$G43="",ChapterMaster!$G43=0),"",IF(ChapterMaster!$G43&gt;ChapterMaster!$E43,ROUND(ChapterMaster!$G43-ChapterMaster!$E43,2),""))</f>
        <v/>
      </c>
      <c r="G46" s="28">
        <f>IF($F46="","","#101 (Addendum to BPOC)")</f>
        <v/>
      </c>
    </row>
    <row r="47">
      <c r="B47" s="28">
        <f>ChapterMaster!$C$44</f>
        <v/>
      </c>
      <c r="C47" s="28">
        <f>ChapterMaster!$D$44</f>
        <v/>
      </c>
      <c r="D47" s="29">
        <f>ChapterMaster!$E$44</f>
        <v/>
      </c>
      <c r="E47" s="29">
        <f>IF(ChapterMaster!$G44=0,"",ChapterMaster!$G44)</f>
        <v/>
      </c>
      <c r="F47" s="30">
        <f>IF(OR(ChapterMaster!$G44="",ChapterMaster!$G44=0),"",IF(ChapterMaster!$G44&gt;ChapterMaster!$E44,ROUND(ChapterMaster!$G44-ChapterMaster!$E44,2),""))</f>
        <v/>
      </c>
      <c r="G47" s="28">
        <f>IF($F47="","","#101 (Addendum to BPOC)")</f>
        <v/>
      </c>
    </row>
    <row r="48">
      <c r="B48" s="28">
        <f>ChapterMaster!$C$45</f>
        <v/>
      </c>
      <c r="C48" s="28">
        <f>ChapterMaster!$D$45</f>
        <v/>
      </c>
      <c r="D48" s="29">
        <f>ChapterMaster!$E$45</f>
        <v/>
      </c>
      <c r="E48" s="29">
        <f>IF(ChapterMaster!$G45=0,"",ChapterMaster!$G45)</f>
        <v/>
      </c>
      <c r="F48" s="30">
        <f>IF(OR(ChapterMaster!$G45="",ChapterMaster!$G45=0),"",IF(ChapterMaster!$G45&gt;ChapterMaster!$E45,ROUND(ChapterMaster!$G45-ChapterMaster!$E45,2),""))</f>
        <v/>
      </c>
      <c r="G48" s="28">
        <f>IF($F48="","","#101 (Addendum to BPOC)")</f>
        <v/>
      </c>
    </row>
    <row r="49">
      <c r="B49" s="28">
        <f>ChapterMaster!$C$46</f>
        <v/>
      </c>
      <c r="C49" s="28">
        <f>ChapterMaster!$D$46</f>
        <v/>
      </c>
      <c r="D49" s="29">
        <f>ChapterMaster!$E$46</f>
        <v/>
      </c>
      <c r="E49" s="29">
        <f>IF(ChapterMaster!$G46=0,"",ChapterMaster!$G46)</f>
        <v/>
      </c>
      <c r="F49" s="30">
        <f>IF(OR(ChapterMaster!$G46="",ChapterMaster!$G46=0),"",IF(ChapterMaster!$G46&gt;ChapterMaster!$E46,ROUND(ChapterMaster!$G46-ChapterMaster!$E46,2),""))</f>
        <v/>
      </c>
      <c r="G49" s="28">
        <f>IF($F49="","","#101 (Addendum to BPOC)")</f>
        <v/>
      </c>
    </row>
    <row r="50">
      <c r="B50" s="28">
        <f>ChapterMaster!$C$47</f>
        <v/>
      </c>
      <c r="C50" s="28">
        <f>ChapterMaster!$D$47</f>
        <v/>
      </c>
      <c r="D50" s="29">
        <f>ChapterMaster!$E$47</f>
        <v/>
      </c>
      <c r="E50" s="29">
        <f>IF(ChapterMaster!$G47=0,"",ChapterMaster!$G47)</f>
        <v/>
      </c>
      <c r="F50" s="30">
        <f>IF(OR(ChapterMaster!$G47="",ChapterMaster!$G47=0),"",IF(ChapterMaster!$G47&gt;ChapterMaster!$E47,ROUND(ChapterMaster!$G47-ChapterMaster!$E47,2),""))</f>
        <v/>
      </c>
      <c r="G50" s="28">
        <f>IF($F50="","","#2055 (Firearms)")</f>
        <v/>
      </c>
    </row>
    <row r="51">
      <c r="B51" s="28">
        <f>ChapterMaster!$C$48</f>
        <v/>
      </c>
      <c r="C51" s="28">
        <f>ChapterMaster!$D$48</f>
        <v/>
      </c>
      <c r="D51" s="29">
        <f>ChapterMaster!$E$48</f>
        <v/>
      </c>
      <c r="E51" s="29">
        <f>IF(ChapterMaster!$G48=0,"",ChapterMaster!$G48)</f>
        <v/>
      </c>
      <c r="F51" s="30">
        <f>IF(OR(ChapterMaster!$G48="",ChapterMaster!$G48=0),"",IF(ChapterMaster!$G48&gt;ChapterMaster!$E48,ROUND(ChapterMaster!$G48-ChapterMaster!$E48,2),""))</f>
        <v/>
      </c>
      <c r="G51" s="28">
        <f>IF($F51="","","#101 (Addendum to BPOC)")</f>
        <v/>
      </c>
    </row>
    <row r="52">
      <c r="B52" s="28">
        <f>ChapterMaster!$C$49</f>
        <v/>
      </c>
      <c r="C52" s="28">
        <f>ChapterMaster!$D$49</f>
        <v/>
      </c>
      <c r="D52" s="29">
        <f>ChapterMaster!$E$49</f>
        <v/>
      </c>
      <c r="E52" s="29">
        <f>IF(ChapterMaster!$G49=0,"",ChapterMaster!$G49)</f>
        <v/>
      </c>
      <c r="F52" s="30">
        <f>IF(OR(ChapterMaster!$G49="",ChapterMaster!$G49=0),"",IF(ChapterMaster!$G49&gt;ChapterMaster!$E49,ROUND(ChapterMaster!$G49-ChapterMaster!$E49,2),""))</f>
        <v/>
      </c>
      <c r="G52" s="28">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9"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9"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9"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3"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9">
        <f>IF(Cadets!$B6="","",ROW()-10)</f>
        <v/>
      </c>
      <c r="C11" s="28">
        <f>IF(Cadets!$B6="","",Cadets!$F6)</f>
        <v/>
      </c>
      <c r="D11" s="29">
        <f>IF($C11="","",Cadets!$B6)</f>
        <v/>
      </c>
      <c r="E11" s="29">
        <f>IF($C11="","",Cadets!$H6)</f>
        <v/>
      </c>
      <c r="F11" s="29">
        <f>IF($C11="","",_xlfn.LET(_xlpm.c,IFERROR(INDEX(rngEPcode,MATCH(cfgGradeSheetExam,IFERROR(rngEPseq+0,-1),0)),""),IF(COUNTIFS(nrES_PID,Cadets!$B6,nrES_Code,_xlpm.c,nrES_Att,1)=0,"",SUMIFS(nrES_Raw,nrES_PID,Cadets!$B6,nrES_Code,_xlpm.c,nrES_Att,1))))</f>
        <v/>
      </c>
      <c r="G11" s="29">
        <f>IF($C11="","",_xlfn.LET(_xlpm.c,IFERROR(INDEX(rngEPcode,MATCH(cfgGradeSheetExam,IFERROR(rngEPseq+0,-1),0)),""),IF(COUNTIFS(nrES_PID,Cadets!$B6,nrES_Code,_xlpm.c,nrES_Final,"Yes",nrES_Rec,"&lt;&gt;")=0,"",SUMIFS(nrES_Rec,nrES_PID,Cadets!$B6,nrES_Code,_xlpm.c,nrES_Final,"Yes"))))</f>
        <v/>
      </c>
      <c r="H11" s="29">
        <f>IF(OR($C11="",$G11=""),"",IF($G11&gt;=cfgPassingScore,"Pass","FAIL"))</f>
        <v/>
      </c>
      <c r="I11" s="29">
        <f>IF($C11="","",_xlfn.LET(_xlpm.c,IFERROR(INDEX(rngEPcode,MATCH(cfgGradeSheetExam,IFERROR(rngEPseq+0,-1),0)),""),IF(COUNTIFS(nrES_PID,Cadets!$B6,nrES_Code,_xlpm.c,nrES_Att,2)&gt;0,"Retested","")))</f>
        <v/>
      </c>
    </row>
    <row r="12">
      <c r="B12" s="29">
        <f>IF(Cadets!$B7="","",ROW()-10)</f>
        <v/>
      </c>
      <c r="C12" s="28">
        <f>IF(Cadets!$B7="","",Cadets!$F7)</f>
        <v/>
      </c>
      <c r="D12" s="29">
        <f>IF($C12="","",Cadets!$B7)</f>
        <v/>
      </c>
      <c r="E12" s="29">
        <f>IF($C12="","",Cadets!$H7)</f>
        <v/>
      </c>
      <c r="F12" s="29">
        <f>IF($C12="","",_xlfn.LET(_xlpm.c,IFERROR(INDEX(rngEPcode,MATCH(cfgGradeSheetExam,IFERROR(rngEPseq+0,-1),0)),""),IF(COUNTIFS(nrES_PID,Cadets!$B7,nrES_Code,_xlpm.c,nrES_Att,1)=0,"",SUMIFS(nrES_Raw,nrES_PID,Cadets!$B7,nrES_Code,_xlpm.c,nrES_Att,1))))</f>
        <v/>
      </c>
      <c r="G12" s="29">
        <f>IF($C12="","",_xlfn.LET(_xlpm.c,IFERROR(INDEX(rngEPcode,MATCH(cfgGradeSheetExam,IFERROR(rngEPseq+0,-1),0)),""),IF(COUNTIFS(nrES_PID,Cadets!$B7,nrES_Code,_xlpm.c,nrES_Final,"Yes",nrES_Rec,"&lt;&gt;")=0,"",SUMIFS(nrES_Rec,nrES_PID,Cadets!$B7,nrES_Code,_xlpm.c,nrES_Final,"Yes"))))</f>
        <v/>
      </c>
      <c r="H12" s="29">
        <f>IF(OR($C12="",$G12=""),"",IF($G12&gt;=cfgPassingScore,"Pass","FAIL"))</f>
        <v/>
      </c>
      <c r="I12" s="29">
        <f>IF($C12="","",_xlfn.LET(_xlpm.c,IFERROR(INDEX(rngEPcode,MATCH(cfgGradeSheetExam,IFERROR(rngEPseq+0,-1),0)),""),IF(COUNTIFS(nrES_PID,Cadets!$B7,nrES_Code,_xlpm.c,nrES_Att,2)&gt;0,"Retested","")))</f>
        <v/>
      </c>
    </row>
    <row r="13">
      <c r="B13" s="29">
        <f>IF(Cadets!$B8="","",ROW()-10)</f>
        <v/>
      </c>
      <c r="C13" s="28">
        <f>IF(Cadets!$B8="","",Cadets!$F8)</f>
        <v/>
      </c>
      <c r="D13" s="29">
        <f>IF($C13="","",Cadets!$B8)</f>
        <v/>
      </c>
      <c r="E13" s="29">
        <f>IF($C13="","",Cadets!$H8)</f>
        <v/>
      </c>
      <c r="F13" s="29">
        <f>IF($C13="","",_xlfn.LET(_xlpm.c,IFERROR(INDEX(rngEPcode,MATCH(cfgGradeSheetExam,IFERROR(rngEPseq+0,-1),0)),""),IF(COUNTIFS(nrES_PID,Cadets!$B8,nrES_Code,_xlpm.c,nrES_Att,1)=0,"",SUMIFS(nrES_Raw,nrES_PID,Cadets!$B8,nrES_Code,_xlpm.c,nrES_Att,1))))</f>
        <v/>
      </c>
      <c r="G13" s="29">
        <f>IF($C13="","",_xlfn.LET(_xlpm.c,IFERROR(INDEX(rngEPcode,MATCH(cfgGradeSheetExam,IFERROR(rngEPseq+0,-1),0)),""),IF(COUNTIFS(nrES_PID,Cadets!$B8,nrES_Code,_xlpm.c,nrES_Final,"Yes",nrES_Rec,"&lt;&gt;")=0,"",SUMIFS(nrES_Rec,nrES_PID,Cadets!$B8,nrES_Code,_xlpm.c,nrES_Final,"Yes"))))</f>
        <v/>
      </c>
      <c r="H13" s="29">
        <f>IF(OR($C13="",$G13=""),"",IF($G13&gt;=cfgPassingScore,"Pass","FAIL"))</f>
        <v/>
      </c>
      <c r="I13" s="29">
        <f>IF($C13="","",_xlfn.LET(_xlpm.c,IFERROR(INDEX(rngEPcode,MATCH(cfgGradeSheetExam,IFERROR(rngEPseq+0,-1),0)),""),IF(COUNTIFS(nrES_PID,Cadets!$B8,nrES_Code,_xlpm.c,nrES_Att,2)&gt;0,"Retested","")))</f>
        <v/>
      </c>
    </row>
    <row r="14">
      <c r="B14" s="29">
        <f>IF(Cadets!$B9="","",ROW()-10)</f>
        <v/>
      </c>
      <c r="C14" s="28">
        <f>IF(Cadets!$B9="","",Cadets!$F9)</f>
        <v/>
      </c>
      <c r="D14" s="29">
        <f>IF($C14="","",Cadets!$B9)</f>
        <v/>
      </c>
      <c r="E14" s="29">
        <f>IF($C14="","",Cadets!$H9)</f>
        <v/>
      </c>
      <c r="F14" s="29">
        <f>IF($C14="","",_xlfn.LET(_xlpm.c,IFERROR(INDEX(rngEPcode,MATCH(cfgGradeSheetExam,IFERROR(rngEPseq+0,-1),0)),""),IF(COUNTIFS(nrES_PID,Cadets!$B9,nrES_Code,_xlpm.c,nrES_Att,1)=0,"",SUMIFS(nrES_Raw,nrES_PID,Cadets!$B9,nrES_Code,_xlpm.c,nrES_Att,1))))</f>
        <v/>
      </c>
      <c r="G14" s="29">
        <f>IF($C14="","",_xlfn.LET(_xlpm.c,IFERROR(INDEX(rngEPcode,MATCH(cfgGradeSheetExam,IFERROR(rngEPseq+0,-1),0)),""),IF(COUNTIFS(nrES_PID,Cadets!$B9,nrES_Code,_xlpm.c,nrES_Final,"Yes",nrES_Rec,"&lt;&gt;")=0,"",SUMIFS(nrES_Rec,nrES_PID,Cadets!$B9,nrES_Code,_xlpm.c,nrES_Final,"Yes"))))</f>
        <v/>
      </c>
      <c r="H14" s="29">
        <f>IF(OR($C14="",$G14=""),"",IF($G14&gt;=cfgPassingScore,"Pass","FAIL"))</f>
        <v/>
      </c>
      <c r="I14" s="29">
        <f>IF($C14="","",_xlfn.LET(_xlpm.c,IFERROR(INDEX(rngEPcode,MATCH(cfgGradeSheetExam,IFERROR(rngEPseq+0,-1),0)),""),IF(COUNTIFS(nrES_PID,Cadets!$B9,nrES_Code,_xlpm.c,nrES_Att,2)&gt;0,"Retested","")))</f>
        <v/>
      </c>
    </row>
    <row r="15">
      <c r="B15" s="29">
        <f>IF(Cadets!$B10="","",ROW()-10)</f>
        <v/>
      </c>
      <c r="C15" s="28">
        <f>IF(Cadets!$B10="","",Cadets!$F10)</f>
        <v/>
      </c>
      <c r="D15" s="29">
        <f>IF($C15="","",Cadets!$B10)</f>
        <v/>
      </c>
      <c r="E15" s="29">
        <f>IF($C15="","",Cadets!$H10)</f>
        <v/>
      </c>
      <c r="F15" s="29">
        <f>IF($C15="","",_xlfn.LET(_xlpm.c,IFERROR(INDEX(rngEPcode,MATCH(cfgGradeSheetExam,IFERROR(rngEPseq+0,-1),0)),""),IF(COUNTIFS(nrES_PID,Cadets!$B10,nrES_Code,_xlpm.c,nrES_Att,1)=0,"",SUMIFS(nrES_Raw,nrES_PID,Cadets!$B10,nrES_Code,_xlpm.c,nrES_Att,1))))</f>
        <v/>
      </c>
      <c r="G15" s="29">
        <f>IF($C15="","",_xlfn.LET(_xlpm.c,IFERROR(INDEX(rngEPcode,MATCH(cfgGradeSheetExam,IFERROR(rngEPseq+0,-1),0)),""),IF(COUNTIFS(nrES_PID,Cadets!$B10,nrES_Code,_xlpm.c,nrES_Final,"Yes",nrES_Rec,"&lt;&gt;")=0,"",SUMIFS(nrES_Rec,nrES_PID,Cadets!$B10,nrES_Code,_xlpm.c,nrES_Final,"Yes"))))</f>
        <v/>
      </c>
      <c r="H15" s="29">
        <f>IF(OR($C15="",$G15=""),"",IF($G15&gt;=cfgPassingScore,"Pass","FAIL"))</f>
        <v/>
      </c>
      <c r="I15" s="29">
        <f>IF($C15="","",_xlfn.LET(_xlpm.c,IFERROR(INDEX(rngEPcode,MATCH(cfgGradeSheetExam,IFERROR(rngEPseq+0,-1),0)),""),IF(COUNTIFS(nrES_PID,Cadets!$B10,nrES_Code,_xlpm.c,nrES_Att,2)&gt;0,"Retested","")))</f>
        <v/>
      </c>
    </row>
    <row r="16">
      <c r="B16" s="29">
        <f>IF(Cadets!$B11="","",ROW()-10)</f>
        <v/>
      </c>
      <c r="C16" s="28">
        <f>IF(Cadets!$B11="","",Cadets!$F11)</f>
        <v/>
      </c>
      <c r="D16" s="29">
        <f>IF($C16="","",Cadets!$B11)</f>
        <v/>
      </c>
      <c r="E16" s="29">
        <f>IF($C16="","",Cadets!$H11)</f>
        <v/>
      </c>
      <c r="F16" s="29">
        <f>IF($C16="","",_xlfn.LET(_xlpm.c,IFERROR(INDEX(rngEPcode,MATCH(cfgGradeSheetExam,IFERROR(rngEPseq+0,-1),0)),""),IF(COUNTIFS(nrES_PID,Cadets!$B11,nrES_Code,_xlpm.c,nrES_Att,1)=0,"",SUMIFS(nrES_Raw,nrES_PID,Cadets!$B11,nrES_Code,_xlpm.c,nrES_Att,1))))</f>
        <v/>
      </c>
      <c r="G16" s="29">
        <f>IF($C16="","",_xlfn.LET(_xlpm.c,IFERROR(INDEX(rngEPcode,MATCH(cfgGradeSheetExam,IFERROR(rngEPseq+0,-1),0)),""),IF(COUNTIFS(nrES_PID,Cadets!$B11,nrES_Code,_xlpm.c,nrES_Final,"Yes",nrES_Rec,"&lt;&gt;")=0,"",SUMIFS(nrES_Rec,nrES_PID,Cadets!$B11,nrES_Code,_xlpm.c,nrES_Final,"Yes"))))</f>
        <v/>
      </c>
      <c r="H16" s="29">
        <f>IF(OR($C16="",$G16=""),"",IF($G16&gt;=cfgPassingScore,"Pass","FAIL"))</f>
        <v/>
      </c>
      <c r="I16" s="29">
        <f>IF($C16="","",_xlfn.LET(_xlpm.c,IFERROR(INDEX(rngEPcode,MATCH(cfgGradeSheetExam,IFERROR(rngEPseq+0,-1),0)),""),IF(COUNTIFS(nrES_PID,Cadets!$B11,nrES_Code,_xlpm.c,nrES_Att,2)&gt;0,"Retested","")))</f>
        <v/>
      </c>
    </row>
    <row r="17">
      <c r="B17" s="29">
        <f>IF(Cadets!$B12="","",ROW()-10)</f>
        <v/>
      </c>
      <c r="C17" s="28">
        <f>IF(Cadets!$B12="","",Cadets!$F12)</f>
        <v/>
      </c>
      <c r="D17" s="29">
        <f>IF($C17="","",Cadets!$B12)</f>
        <v/>
      </c>
      <c r="E17" s="29">
        <f>IF($C17="","",Cadets!$H12)</f>
        <v/>
      </c>
      <c r="F17" s="29">
        <f>IF($C17="","",_xlfn.LET(_xlpm.c,IFERROR(INDEX(rngEPcode,MATCH(cfgGradeSheetExam,IFERROR(rngEPseq+0,-1),0)),""),IF(COUNTIFS(nrES_PID,Cadets!$B12,nrES_Code,_xlpm.c,nrES_Att,1)=0,"",SUMIFS(nrES_Raw,nrES_PID,Cadets!$B12,nrES_Code,_xlpm.c,nrES_Att,1))))</f>
        <v/>
      </c>
      <c r="G17" s="29">
        <f>IF($C17="","",_xlfn.LET(_xlpm.c,IFERROR(INDEX(rngEPcode,MATCH(cfgGradeSheetExam,IFERROR(rngEPseq+0,-1),0)),""),IF(COUNTIFS(nrES_PID,Cadets!$B12,nrES_Code,_xlpm.c,nrES_Final,"Yes",nrES_Rec,"&lt;&gt;")=0,"",SUMIFS(nrES_Rec,nrES_PID,Cadets!$B12,nrES_Code,_xlpm.c,nrES_Final,"Yes"))))</f>
        <v/>
      </c>
      <c r="H17" s="29">
        <f>IF(OR($C17="",$G17=""),"",IF($G17&gt;=cfgPassingScore,"Pass","FAIL"))</f>
        <v/>
      </c>
      <c r="I17" s="29">
        <f>IF($C17="","",_xlfn.LET(_xlpm.c,IFERROR(INDEX(rngEPcode,MATCH(cfgGradeSheetExam,IFERROR(rngEPseq+0,-1),0)),""),IF(COUNTIFS(nrES_PID,Cadets!$B12,nrES_Code,_xlpm.c,nrES_Att,2)&gt;0,"Retested","")))</f>
        <v/>
      </c>
    </row>
    <row r="18">
      <c r="B18" s="29">
        <f>IF(Cadets!$B13="","",ROW()-10)</f>
        <v/>
      </c>
      <c r="C18" s="28">
        <f>IF(Cadets!$B13="","",Cadets!$F13)</f>
        <v/>
      </c>
      <c r="D18" s="29">
        <f>IF($C18="","",Cadets!$B13)</f>
        <v/>
      </c>
      <c r="E18" s="29">
        <f>IF($C18="","",Cadets!$H13)</f>
        <v/>
      </c>
      <c r="F18" s="29">
        <f>IF($C18="","",_xlfn.LET(_xlpm.c,IFERROR(INDEX(rngEPcode,MATCH(cfgGradeSheetExam,IFERROR(rngEPseq+0,-1),0)),""),IF(COUNTIFS(nrES_PID,Cadets!$B13,nrES_Code,_xlpm.c,nrES_Att,1)=0,"",SUMIFS(nrES_Raw,nrES_PID,Cadets!$B13,nrES_Code,_xlpm.c,nrES_Att,1))))</f>
        <v/>
      </c>
      <c r="G18" s="29">
        <f>IF($C18="","",_xlfn.LET(_xlpm.c,IFERROR(INDEX(rngEPcode,MATCH(cfgGradeSheetExam,IFERROR(rngEPseq+0,-1),0)),""),IF(COUNTIFS(nrES_PID,Cadets!$B13,nrES_Code,_xlpm.c,nrES_Final,"Yes",nrES_Rec,"&lt;&gt;")=0,"",SUMIFS(nrES_Rec,nrES_PID,Cadets!$B13,nrES_Code,_xlpm.c,nrES_Final,"Yes"))))</f>
        <v/>
      </c>
      <c r="H18" s="29">
        <f>IF(OR($C18="",$G18=""),"",IF($G18&gt;=cfgPassingScore,"Pass","FAIL"))</f>
        <v/>
      </c>
      <c r="I18" s="29">
        <f>IF($C18="","",_xlfn.LET(_xlpm.c,IFERROR(INDEX(rngEPcode,MATCH(cfgGradeSheetExam,IFERROR(rngEPseq+0,-1),0)),""),IF(COUNTIFS(nrES_PID,Cadets!$B13,nrES_Code,_xlpm.c,nrES_Att,2)&gt;0,"Retested","")))</f>
        <v/>
      </c>
    </row>
    <row r="19">
      <c r="B19" s="29">
        <f>IF(Cadets!$B14="","",ROW()-10)</f>
        <v/>
      </c>
      <c r="C19" s="28">
        <f>IF(Cadets!$B14="","",Cadets!$F14)</f>
        <v/>
      </c>
      <c r="D19" s="29">
        <f>IF($C19="","",Cadets!$B14)</f>
        <v/>
      </c>
      <c r="E19" s="29">
        <f>IF($C19="","",Cadets!$H14)</f>
        <v/>
      </c>
      <c r="F19" s="29">
        <f>IF($C19="","",_xlfn.LET(_xlpm.c,IFERROR(INDEX(rngEPcode,MATCH(cfgGradeSheetExam,IFERROR(rngEPseq+0,-1),0)),""),IF(COUNTIFS(nrES_PID,Cadets!$B14,nrES_Code,_xlpm.c,nrES_Att,1)=0,"",SUMIFS(nrES_Raw,nrES_PID,Cadets!$B14,nrES_Code,_xlpm.c,nrES_Att,1))))</f>
        <v/>
      </c>
      <c r="G19" s="29">
        <f>IF($C19="","",_xlfn.LET(_xlpm.c,IFERROR(INDEX(rngEPcode,MATCH(cfgGradeSheetExam,IFERROR(rngEPseq+0,-1),0)),""),IF(COUNTIFS(nrES_PID,Cadets!$B14,nrES_Code,_xlpm.c,nrES_Final,"Yes",nrES_Rec,"&lt;&gt;")=0,"",SUMIFS(nrES_Rec,nrES_PID,Cadets!$B14,nrES_Code,_xlpm.c,nrES_Final,"Yes"))))</f>
        <v/>
      </c>
      <c r="H19" s="29">
        <f>IF(OR($C19="",$G19=""),"",IF($G19&gt;=cfgPassingScore,"Pass","FAIL"))</f>
        <v/>
      </c>
      <c r="I19" s="29">
        <f>IF($C19="","",_xlfn.LET(_xlpm.c,IFERROR(INDEX(rngEPcode,MATCH(cfgGradeSheetExam,IFERROR(rngEPseq+0,-1),0)),""),IF(COUNTIFS(nrES_PID,Cadets!$B14,nrES_Code,_xlpm.c,nrES_Att,2)&gt;0,"Retested","")))</f>
        <v/>
      </c>
    </row>
    <row r="20">
      <c r="B20" s="29">
        <f>IF(Cadets!$B15="","",ROW()-10)</f>
        <v/>
      </c>
      <c r="C20" s="28">
        <f>IF(Cadets!$B15="","",Cadets!$F15)</f>
        <v/>
      </c>
      <c r="D20" s="29">
        <f>IF($C20="","",Cadets!$B15)</f>
        <v/>
      </c>
      <c r="E20" s="29">
        <f>IF($C20="","",Cadets!$H15)</f>
        <v/>
      </c>
      <c r="F20" s="29">
        <f>IF($C20="","",_xlfn.LET(_xlpm.c,IFERROR(INDEX(rngEPcode,MATCH(cfgGradeSheetExam,IFERROR(rngEPseq+0,-1),0)),""),IF(COUNTIFS(nrES_PID,Cadets!$B15,nrES_Code,_xlpm.c,nrES_Att,1)=0,"",SUMIFS(nrES_Raw,nrES_PID,Cadets!$B15,nrES_Code,_xlpm.c,nrES_Att,1))))</f>
        <v/>
      </c>
      <c r="G20" s="29">
        <f>IF($C20="","",_xlfn.LET(_xlpm.c,IFERROR(INDEX(rngEPcode,MATCH(cfgGradeSheetExam,IFERROR(rngEPseq+0,-1),0)),""),IF(COUNTIFS(nrES_PID,Cadets!$B15,nrES_Code,_xlpm.c,nrES_Final,"Yes",nrES_Rec,"&lt;&gt;")=0,"",SUMIFS(nrES_Rec,nrES_PID,Cadets!$B15,nrES_Code,_xlpm.c,nrES_Final,"Yes"))))</f>
        <v/>
      </c>
      <c r="H20" s="29">
        <f>IF(OR($C20="",$G20=""),"",IF($G20&gt;=cfgPassingScore,"Pass","FAIL"))</f>
        <v/>
      </c>
      <c r="I20" s="29">
        <f>IF($C20="","",_xlfn.LET(_xlpm.c,IFERROR(INDEX(rngEPcode,MATCH(cfgGradeSheetExam,IFERROR(rngEPseq+0,-1),0)),""),IF(COUNTIFS(nrES_PID,Cadets!$B15,nrES_Code,_xlpm.c,nrES_Att,2)&gt;0,"Retested","")))</f>
        <v/>
      </c>
    </row>
    <row r="21">
      <c r="B21" s="29">
        <f>IF(Cadets!$B16="","",ROW()-10)</f>
        <v/>
      </c>
      <c r="C21" s="28">
        <f>IF(Cadets!$B16="","",Cadets!$F16)</f>
        <v/>
      </c>
      <c r="D21" s="29">
        <f>IF($C21="","",Cadets!$B16)</f>
        <v/>
      </c>
      <c r="E21" s="29">
        <f>IF($C21="","",Cadets!$H16)</f>
        <v/>
      </c>
      <c r="F21" s="29">
        <f>IF($C21="","",_xlfn.LET(_xlpm.c,IFERROR(INDEX(rngEPcode,MATCH(cfgGradeSheetExam,IFERROR(rngEPseq+0,-1),0)),""),IF(COUNTIFS(nrES_PID,Cadets!$B16,nrES_Code,_xlpm.c,nrES_Att,1)=0,"",SUMIFS(nrES_Raw,nrES_PID,Cadets!$B16,nrES_Code,_xlpm.c,nrES_Att,1))))</f>
        <v/>
      </c>
      <c r="G21" s="29">
        <f>IF($C21="","",_xlfn.LET(_xlpm.c,IFERROR(INDEX(rngEPcode,MATCH(cfgGradeSheetExam,IFERROR(rngEPseq+0,-1),0)),""),IF(COUNTIFS(nrES_PID,Cadets!$B16,nrES_Code,_xlpm.c,nrES_Final,"Yes",nrES_Rec,"&lt;&gt;")=0,"",SUMIFS(nrES_Rec,nrES_PID,Cadets!$B16,nrES_Code,_xlpm.c,nrES_Final,"Yes"))))</f>
        <v/>
      </c>
      <c r="H21" s="29">
        <f>IF(OR($C21="",$G21=""),"",IF($G21&gt;=cfgPassingScore,"Pass","FAIL"))</f>
        <v/>
      </c>
      <c r="I21" s="29">
        <f>IF($C21="","",_xlfn.LET(_xlpm.c,IFERROR(INDEX(rngEPcode,MATCH(cfgGradeSheetExam,IFERROR(rngEPseq+0,-1),0)),""),IF(COUNTIFS(nrES_PID,Cadets!$B16,nrES_Code,_xlpm.c,nrES_Att,2)&gt;0,"Retested","")))</f>
        <v/>
      </c>
    </row>
    <row r="22">
      <c r="B22" s="29">
        <f>IF(Cadets!$B17="","",ROW()-10)</f>
        <v/>
      </c>
      <c r="C22" s="28">
        <f>IF(Cadets!$B17="","",Cadets!$F17)</f>
        <v/>
      </c>
      <c r="D22" s="29">
        <f>IF($C22="","",Cadets!$B17)</f>
        <v/>
      </c>
      <c r="E22" s="29">
        <f>IF($C22="","",Cadets!$H17)</f>
        <v/>
      </c>
      <c r="F22" s="29">
        <f>IF($C22="","",_xlfn.LET(_xlpm.c,IFERROR(INDEX(rngEPcode,MATCH(cfgGradeSheetExam,IFERROR(rngEPseq+0,-1),0)),""),IF(COUNTIFS(nrES_PID,Cadets!$B17,nrES_Code,_xlpm.c,nrES_Att,1)=0,"",SUMIFS(nrES_Raw,nrES_PID,Cadets!$B17,nrES_Code,_xlpm.c,nrES_Att,1))))</f>
        <v/>
      </c>
      <c r="G22" s="29">
        <f>IF($C22="","",_xlfn.LET(_xlpm.c,IFERROR(INDEX(rngEPcode,MATCH(cfgGradeSheetExam,IFERROR(rngEPseq+0,-1),0)),""),IF(COUNTIFS(nrES_PID,Cadets!$B17,nrES_Code,_xlpm.c,nrES_Final,"Yes",nrES_Rec,"&lt;&gt;")=0,"",SUMIFS(nrES_Rec,nrES_PID,Cadets!$B17,nrES_Code,_xlpm.c,nrES_Final,"Yes"))))</f>
        <v/>
      </c>
      <c r="H22" s="29">
        <f>IF(OR($C22="",$G22=""),"",IF($G22&gt;=cfgPassingScore,"Pass","FAIL"))</f>
        <v/>
      </c>
      <c r="I22" s="29">
        <f>IF($C22="","",_xlfn.LET(_xlpm.c,IFERROR(INDEX(rngEPcode,MATCH(cfgGradeSheetExam,IFERROR(rngEPseq+0,-1),0)),""),IF(COUNTIFS(nrES_PID,Cadets!$B17,nrES_Code,_xlpm.c,nrES_Att,2)&gt;0,"Retested","")))</f>
        <v/>
      </c>
    </row>
    <row r="23">
      <c r="B23" s="29">
        <f>IF(Cadets!$B18="","",ROW()-10)</f>
        <v/>
      </c>
      <c r="C23" s="28">
        <f>IF(Cadets!$B18="","",Cadets!$F18)</f>
        <v/>
      </c>
      <c r="D23" s="29">
        <f>IF($C23="","",Cadets!$B18)</f>
        <v/>
      </c>
      <c r="E23" s="29">
        <f>IF($C23="","",Cadets!$H18)</f>
        <v/>
      </c>
      <c r="F23" s="29">
        <f>IF($C23="","",_xlfn.LET(_xlpm.c,IFERROR(INDEX(rngEPcode,MATCH(cfgGradeSheetExam,IFERROR(rngEPseq+0,-1),0)),""),IF(COUNTIFS(nrES_PID,Cadets!$B18,nrES_Code,_xlpm.c,nrES_Att,1)=0,"",SUMIFS(nrES_Raw,nrES_PID,Cadets!$B18,nrES_Code,_xlpm.c,nrES_Att,1))))</f>
        <v/>
      </c>
      <c r="G23" s="29">
        <f>IF($C23="","",_xlfn.LET(_xlpm.c,IFERROR(INDEX(rngEPcode,MATCH(cfgGradeSheetExam,IFERROR(rngEPseq+0,-1),0)),""),IF(COUNTIFS(nrES_PID,Cadets!$B18,nrES_Code,_xlpm.c,nrES_Final,"Yes",nrES_Rec,"&lt;&gt;")=0,"",SUMIFS(nrES_Rec,nrES_PID,Cadets!$B18,nrES_Code,_xlpm.c,nrES_Final,"Yes"))))</f>
        <v/>
      </c>
      <c r="H23" s="29">
        <f>IF(OR($C23="",$G23=""),"",IF($G23&gt;=cfgPassingScore,"Pass","FAIL"))</f>
        <v/>
      </c>
      <c r="I23" s="29">
        <f>IF($C23="","",_xlfn.LET(_xlpm.c,IFERROR(INDEX(rngEPcode,MATCH(cfgGradeSheetExam,IFERROR(rngEPseq+0,-1),0)),""),IF(COUNTIFS(nrES_PID,Cadets!$B18,nrES_Code,_xlpm.c,nrES_Att,2)&gt;0,"Retested","")))</f>
        <v/>
      </c>
    </row>
    <row r="24">
      <c r="B24" s="29">
        <f>IF(Cadets!$B19="","",ROW()-10)</f>
        <v/>
      </c>
      <c r="C24" s="28">
        <f>IF(Cadets!$B19="","",Cadets!$F19)</f>
        <v/>
      </c>
      <c r="D24" s="29">
        <f>IF($C24="","",Cadets!$B19)</f>
        <v/>
      </c>
      <c r="E24" s="29">
        <f>IF($C24="","",Cadets!$H19)</f>
        <v/>
      </c>
      <c r="F24" s="29">
        <f>IF($C24="","",_xlfn.LET(_xlpm.c,IFERROR(INDEX(rngEPcode,MATCH(cfgGradeSheetExam,IFERROR(rngEPseq+0,-1),0)),""),IF(COUNTIFS(nrES_PID,Cadets!$B19,nrES_Code,_xlpm.c,nrES_Att,1)=0,"",SUMIFS(nrES_Raw,nrES_PID,Cadets!$B19,nrES_Code,_xlpm.c,nrES_Att,1))))</f>
        <v/>
      </c>
      <c r="G24" s="29">
        <f>IF($C24="","",_xlfn.LET(_xlpm.c,IFERROR(INDEX(rngEPcode,MATCH(cfgGradeSheetExam,IFERROR(rngEPseq+0,-1),0)),""),IF(COUNTIFS(nrES_PID,Cadets!$B19,nrES_Code,_xlpm.c,nrES_Final,"Yes",nrES_Rec,"&lt;&gt;")=0,"",SUMIFS(nrES_Rec,nrES_PID,Cadets!$B19,nrES_Code,_xlpm.c,nrES_Final,"Yes"))))</f>
        <v/>
      </c>
      <c r="H24" s="29">
        <f>IF(OR($C24="",$G24=""),"",IF($G24&gt;=cfgPassingScore,"Pass","FAIL"))</f>
        <v/>
      </c>
      <c r="I24" s="29">
        <f>IF($C24="","",_xlfn.LET(_xlpm.c,IFERROR(INDEX(rngEPcode,MATCH(cfgGradeSheetExam,IFERROR(rngEPseq+0,-1),0)),""),IF(COUNTIFS(nrES_PID,Cadets!$B19,nrES_Code,_xlpm.c,nrES_Att,2)&gt;0,"Retested","")))</f>
        <v/>
      </c>
    </row>
    <row r="25">
      <c r="B25" s="29">
        <f>IF(Cadets!$B20="","",ROW()-10)</f>
        <v/>
      </c>
      <c r="C25" s="28">
        <f>IF(Cadets!$B20="","",Cadets!$F20)</f>
        <v/>
      </c>
      <c r="D25" s="29">
        <f>IF($C25="","",Cadets!$B20)</f>
        <v/>
      </c>
      <c r="E25" s="29">
        <f>IF($C25="","",Cadets!$H20)</f>
        <v/>
      </c>
      <c r="F25" s="29">
        <f>IF($C25="","",_xlfn.LET(_xlpm.c,IFERROR(INDEX(rngEPcode,MATCH(cfgGradeSheetExam,IFERROR(rngEPseq+0,-1),0)),""),IF(COUNTIFS(nrES_PID,Cadets!$B20,nrES_Code,_xlpm.c,nrES_Att,1)=0,"",SUMIFS(nrES_Raw,nrES_PID,Cadets!$B20,nrES_Code,_xlpm.c,nrES_Att,1))))</f>
        <v/>
      </c>
      <c r="G25" s="29">
        <f>IF($C25="","",_xlfn.LET(_xlpm.c,IFERROR(INDEX(rngEPcode,MATCH(cfgGradeSheetExam,IFERROR(rngEPseq+0,-1),0)),""),IF(COUNTIFS(nrES_PID,Cadets!$B20,nrES_Code,_xlpm.c,nrES_Final,"Yes",nrES_Rec,"&lt;&gt;")=0,"",SUMIFS(nrES_Rec,nrES_PID,Cadets!$B20,nrES_Code,_xlpm.c,nrES_Final,"Yes"))))</f>
        <v/>
      </c>
      <c r="H25" s="29">
        <f>IF(OR($C25="",$G25=""),"",IF($G25&gt;=cfgPassingScore,"Pass","FAIL"))</f>
        <v/>
      </c>
      <c r="I25" s="29">
        <f>IF($C25="","",_xlfn.LET(_xlpm.c,IFERROR(INDEX(rngEPcode,MATCH(cfgGradeSheetExam,IFERROR(rngEPseq+0,-1),0)),""),IF(COUNTIFS(nrES_PID,Cadets!$B20,nrES_Code,_xlpm.c,nrES_Att,2)&gt;0,"Retested","")))</f>
        <v/>
      </c>
    </row>
    <row r="26">
      <c r="B26" s="29">
        <f>IF(Cadets!$B21="","",ROW()-10)</f>
        <v/>
      </c>
      <c r="C26" s="28">
        <f>IF(Cadets!$B21="","",Cadets!$F21)</f>
        <v/>
      </c>
      <c r="D26" s="29">
        <f>IF($C26="","",Cadets!$B21)</f>
        <v/>
      </c>
      <c r="E26" s="29">
        <f>IF($C26="","",Cadets!$H21)</f>
        <v/>
      </c>
      <c r="F26" s="29">
        <f>IF($C26="","",_xlfn.LET(_xlpm.c,IFERROR(INDEX(rngEPcode,MATCH(cfgGradeSheetExam,IFERROR(rngEPseq+0,-1),0)),""),IF(COUNTIFS(nrES_PID,Cadets!$B21,nrES_Code,_xlpm.c,nrES_Att,1)=0,"",SUMIFS(nrES_Raw,nrES_PID,Cadets!$B21,nrES_Code,_xlpm.c,nrES_Att,1))))</f>
        <v/>
      </c>
      <c r="G26" s="29">
        <f>IF($C26="","",_xlfn.LET(_xlpm.c,IFERROR(INDEX(rngEPcode,MATCH(cfgGradeSheetExam,IFERROR(rngEPseq+0,-1),0)),""),IF(COUNTIFS(nrES_PID,Cadets!$B21,nrES_Code,_xlpm.c,nrES_Final,"Yes",nrES_Rec,"&lt;&gt;")=0,"",SUMIFS(nrES_Rec,nrES_PID,Cadets!$B21,nrES_Code,_xlpm.c,nrES_Final,"Yes"))))</f>
        <v/>
      </c>
      <c r="H26" s="29">
        <f>IF(OR($C26="",$G26=""),"",IF($G26&gt;=cfgPassingScore,"Pass","FAIL"))</f>
        <v/>
      </c>
      <c r="I26" s="29">
        <f>IF($C26="","",_xlfn.LET(_xlpm.c,IFERROR(INDEX(rngEPcode,MATCH(cfgGradeSheetExam,IFERROR(rngEPseq+0,-1),0)),""),IF(COUNTIFS(nrES_PID,Cadets!$B21,nrES_Code,_xlpm.c,nrES_Att,2)&gt;0,"Retested","")))</f>
        <v/>
      </c>
    </row>
    <row r="27">
      <c r="B27" s="29">
        <f>IF(Cadets!$B22="","",ROW()-10)</f>
        <v/>
      </c>
      <c r="C27" s="28">
        <f>IF(Cadets!$B22="","",Cadets!$F22)</f>
        <v/>
      </c>
      <c r="D27" s="29">
        <f>IF($C27="","",Cadets!$B22)</f>
        <v/>
      </c>
      <c r="E27" s="29">
        <f>IF($C27="","",Cadets!$H22)</f>
        <v/>
      </c>
      <c r="F27" s="29">
        <f>IF($C27="","",_xlfn.LET(_xlpm.c,IFERROR(INDEX(rngEPcode,MATCH(cfgGradeSheetExam,IFERROR(rngEPseq+0,-1),0)),""),IF(COUNTIFS(nrES_PID,Cadets!$B22,nrES_Code,_xlpm.c,nrES_Att,1)=0,"",SUMIFS(nrES_Raw,nrES_PID,Cadets!$B22,nrES_Code,_xlpm.c,nrES_Att,1))))</f>
        <v/>
      </c>
      <c r="G27" s="29">
        <f>IF($C27="","",_xlfn.LET(_xlpm.c,IFERROR(INDEX(rngEPcode,MATCH(cfgGradeSheetExam,IFERROR(rngEPseq+0,-1),0)),""),IF(COUNTIFS(nrES_PID,Cadets!$B22,nrES_Code,_xlpm.c,nrES_Final,"Yes",nrES_Rec,"&lt;&gt;")=0,"",SUMIFS(nrES_Rec,nrES_PID,Cadets!$B22,nrES_Code,_xlpm.c,nrES_Final,"Yes"))))</f>
        <v/>
      </c>
      <c r="H27" s="29">
        <f>IF(OR($C27="",$G27=""),"",IF($G27&gt;=cfgPassingScore,"Pass","FAIL"))</f>
        <v/>
      </c>
      <c r="I27" s="29">
        <f>IF($C27="","",_xlfn.LET(_xlpm.c,IFERROR(INDEX(rngEPcode,MATCH(cfgGradeSheetExam,IFERROR(rngEPseq+0,-1),0)),""),IF(COUNTIFS(nrES_PID,Cadets!$B22,nrES_Code,_xlpm.c,nrES_Att,2)&gt;0,"Retested","")))</f>
        <v/>
      </c>
    </row>
    <row r="28">
      <c r="B28" s="29">
        <f>IF(Cadets!$B23="","",ROW()-10)</f>
        <v/>
      </c>
      <c r="C28" s="28">
        <f>IF(Cadets!$B23="","",Cadets!$F23)</f>
        <v/>
      </c>
      <c r="D28" s="29">
        <f>IF($C28="","",Cadets!$B23)</f>
        <v/>
      </c>
      <c r="E28" s="29">
        <f>IF($C28="","",Cadets!$H23)</f>
        <v/>
      </c>
      <c r="F28" s="29">
        <f>IF($C28="","",_xlfn.LET(_xlpm.c,IFERROR(INDEX(rngEPcode,MATCH(cfgGradeSheetExam,IFERROR(rngEPseq+0,-1),0)),""),IF(COUNTIFS(nrES_PID,Cadets!$B23,nrES_Code,_xlpm.c,nrES_Att,1)=0,"",SUMIFS(nrES_Raw,nrES_PID,Cadets!$B23,nrES_Code,_xlpm.c,nrES_Att,1))))</f>
        <v/>
      </c>
      <c r="G28" s="29">
        <f>IF($C28="","",_xlfn.LET(_xlpm.c,IFERROR(INDEX(rngEPcode,MATCH(cfgGradeSheetExam,IFERROR(rngEPseq+0,-1),0)),""),IF(COUNTIFS(nrES_PID,Cadets!$B23,nrES_Code,_xlpm.c,nrES_Final,"Yes",nrES_Rec,"&lt;&gt;")=0,"",SUMIFS(nrES_Rec,nrES_PID,Cadets!$B23,nrES_Code,_xlpm.c,nrES_Final,"Yes"))))</f>
        <v/>
      </c>
      <c r="H28" s="29">
        <f>IF(OR($C28="",$G28=""),"",IF($G28&gt;=cfgPassingScore,"Pass","FAIL"))</f>
        <v/>
      </c>
      <c r="I28" s="29">
        <f>IF($C28="","",_xlfn.LET(_xlpm.c,IFERROR(INDEX(rngEPcode,MATCH(cfgGradeSheetExam,IFERROR(rngEPseq+0,-1),0)),""),IF(COUNTIFS(nrES_PID,Cadets!$B23,nrES_Code,_xlpm.c,nrES_Att,2)&gt;0,"Retested","")))</f>
        <v/>
      </c>
    </row>
    <row r="29">
      <c r="B29" s="29">
        <f>IF(Cadets!$B24="","",ROW()-10)</f>
        <v/>
      </c>
      <c r="C29" s="28">
        <f>IF(Cadets!$B24="","",Cadets!$F24)</f>
        <v/>
      </c>
      <c r="D29" s="29">
        <f>IF($C29="","",Cadets!$B24)</f>
        <v/>
      </c>
      <c r="E29" s="29">
        <f>IF($C29="","",Cadets!$H24)</f>
        <v/>
      </c>
      <c r="F29" s="29">
        <f>IF($C29="","",_xlfn.LET(_xlpm.c,IFERROR(INDEX(rngEPcode,MATCH(cfgGradeSheetExam,IFERROR(rngEPseq+0,-1),0)),""),IF(COUNTIFS(nrES_PID,Cadets!$B24,nrES_Code,_xlpm.c,nrES_Att,1)=0,"",SUMIFS(nrES_Raw,nrES_PID,Cadets!$B24,nrES_Code,_xlpm.c,nrES_Att,1))))</f>
        <v/>
      </c>
      <c r="G29" s="29">
        <f>IF($C29="","",_xlfn.LET(_xlpm.c,IFERROR(INDEX(rngEPcode,MATCH(cfgGradeSheetExam,IFERROR(rngEPseq+0,-1),0)),""),IF(COUNTIFS(nrES_PID,Cadets!$B24,nrES_Code,_xlpm.c,nrES_Final,"Yes",nrES_Rec,"&lt;&gt;")=0,"",SUMIFS(nrES_Rec,nrES_PID,Cadets!$B24,nrES_Code,_xlpm.c,nrES_Final,"Yes"))))</f>
        <v/>
      </c>
      <c r="H29" s="29">
        <f>IF(OR($C29="",$G29=""),"",IF($G29&gt;=cfgPassingScore,"Pass","FAIL"))</f>
        <v/>
      </c>
      <c r="I29" s="29">
        <f>IF($C29="","",_xlfn.LET(_xlpm.c,IFERROR(INDEX(rngEPcode,MATCH(cfgGradeSheetExam,IFERROR(rngEPseq+0,-1),0)),""),IF(COUNTIFS(nrES_PID,Cadets!$B24,nrES_Code,_xlpm.c,nrES_Att,2)&gt;0,"Retested","")))</f>
        <v/>
      </c>
    </row>
    <row r="30">
      <c r="B30" s="29">
        <f>IF(Cadets!$B25="","",ROW()-10)</f>
        <v/>
      </c>
      <c r="C30" s="28">
        <f>IF(Cadets!$B25="","",Cadets!$F25)</f>
        <v/>
      </c>
      <c r="D30" s="29">
        <f>IF($C30="","",Cadets!$B25)</f>
        <v/>
      </c>
      <c r="E30" s="29">
        <f>IF($C30="","",Cadets!$H25)</f>
        <v/>
      </c>
      <c r="F30" s="29">
        <f>IF($C30="","",_xlfn.LET(_xlpm.c,IFERROR(INDEX(rngEPcode,MATCH(cfgGradeSheetExam,IFERROR(rngEPseq+0,-1),0)),""),IF(COUNTIFS(nrES_PID,Cadets!$B25,nrES_Code,_xlpm.c,nrES_Att,1)=0,"",SUMIFS(nrES_Raw,nrES_PID,Cadets!$B25,nrES_Code,_xlpm.c,nrES_Att,1))))</f>
        <v/>
      </c>
      <c r="G30" s="29">
        <f>IF($C30="","",_xlfn.LET(_xlpm.c,IFERROR(INDEX(rngEPcode,MATCH(cfgGradeSheetExam,IFERROR(rngEPseq+0,-1),0)),""),IF(COUNTIFS(nrES_PID,Cadets!$B25,nrES_Code,_xlpm.c,nrES_Final,"Yes",nrES_Rec,"&lt;&gt;")=0,"",SUMIFS(nrES_Rec,nrES_PID,Cadets!$B25,nrES_Code,_xlpm.c,nrES_Final,"Yes"))))</f>
        <v/>
      </c>
      <c r="H30" s="29">
        <f>IF(OR($C30="",$G30=""),"",IF($G30&gt;=cfgPassingScore,"Pass","FAIL"))</f>
        <v/>
      </c>
      <c r="I30" s="29">
        <f>IF($C30="","",_xlfn.LET(_xlpm.c,IFERROR(INDEX(rngEPcode,MATCH(cfgGradeSheetExam,IFERROR(rngEPseq+0,-1),0)),""),IF(COUNTIFS(nrES_PID,Cadets!$B25,nrES_Code,_xlpm.c,nrES_Att,2)&gt;0,"Retested","")))</f>
        <v/>
      </c>
    </row>
    <row r="31">
      <c r="B31" s="29">
        <f>IF(Cadets!$B26="","",ROW()-10)</f>
        <v/>
      </c>
      <c r="C31" s="28">
        <f>IF(Cadets!$B26="","",Cadets!$F26)</f>
        <v/>
      </c>
      <c r="D31" s="29">
        <f>IF($C31="","",Cadets!$B26)</f>
        <v/>
      </c>
      <c r="E31" s="29">
        <f>IF($C31="","",Cadets!$H26)</f>
        <v/>
      </c>
      <c r="F31" s="29">
        <f>IF($C31="","",_xlfn.LET(_xlpm.c,IFERROR(INDEX(rngEPcode,MATCH(cfgGradeSheetExam,IFERROR(rngEPseq+0,-1),0)),""),IF(COUNTIFS(nrES_PID,Cadets!$B26,nrES_Code,_xlpm.c,nrES_Att,1)=0,"",SUMIFS(nrES_Raw,nrES_PID,Cadets!$B26,nrES_Code,_xlpm.c,nrES_Att,1))))</f>
        <v/>
      </c>
      <c r="G31" s="29">
        <f>IF($C31="","",_xlfn.LET(_xlpm.c,IFERROR(INDEX(rngEPcode,MATCH(cfgGradeSheetExam,IFERROR(rngEPseq+0,-1),0)),""),IF(COUNTIFS(nrES_PID,Cadets!$B26,nrES_Code,_xlpm.c,nrES_Final,"Yes",nrES_Rec,"&lt;&gt;")=0,"",SUMIFS(nrES_Rec,nrES_PID,Cadets!$B26,nrES_Code,_xlpm.c,nrES_Final,"Yes"))))</f>
        <v/>
      </c>
      <c r="H31" s="29">
        <f>IF(OR($C31="",$G31=""),"",IF($G31&gt;=cfgPassingScore,"Pass","FAIL"))</f>
        <v/>
      </c>
      <c r="I31" s="29">
        <f>IF($C31="","",_xlfn.LET(_xlpm.c,IFERROR(INDEX(rngEPcode,MATCH(cfgGradeSheetExam,IFERROR(rngEPseq+0,-1),0)),""),IF(COUNTIFS(nrES_PID,Cadets!$B26,nrES_Code,_xlpm.c,nrES_Att,2)&gt;0,"Retested","")))</f>
        <v/>
      </c>
    </row>
    <row r="32">
      <c r="B32" s="29">
        <f>IF(Cadets!$B27="","",ROW()-10)</f>
        <v/>
      </c>
      <c r="C32" s="28">
        <f>IF(Cadets!$B27="","",Cadets!$F27)</f>
        <v/>
      </c>
      <c r="D32" s="29">
        <f>IF($C32="","",Cadets!$B27)</f>
        <v/>
      </c>
      <c r="E32" s="29">
        <f>IF($C32="","",Cadets!$H27)</f>
        <v/>
      </c>
      <c r="F32" s="29">
        <f>IF($C32="","",_xlfn.LET(_xlpm.c,IFERROR(INDEX(rngEPcode,MATCH(cfgGradeSheetExam,IFERROR(rngEPseq+0,-1),0)),""),IF(COUNTIFS(nrES_PID,Cadets!$B27,nrES_Code,_xlpm.c,nrES_Att,1)=0,"",SUMIFS(nrES_Raw,nrES_PID,Cadets!$B27,nrES_Code,_xlpm.c,nrES_Att,1))))</f>
        <v/>
      </c>
      <c r="G32" s="29">
        <f>IF($C32="","",_xlfn.LET(_xlpm.c,IFERROR(INDEX(rngEPcode,MATCH(cfgGradeSheetExam,IFERROR(rngEPseq+0,-1),0)),""),IF(COUNTIFS(nrES_PID,Cadets!$B27,nrES_Code,_xlpm.c,nrES_Final,"Yes",nrES_Rec,"&lt;&gt;")=0,"",SUMIFS(nrES_Rec,nrES_PID,Cadets!$B27,nrES_Code,_xlpm.c,nrES_Final,"Yes"))))</f>
        <v/>
      </c>
      <c r="H32" s="29">
        <f>IF(OR($C32="",$G32=""),"",IF($G32&gt;=cfgPassingScore,"Pass","FAIL"))</f>
        <v/>
      </c>
      <c r="I32" s="29">
        <f>IF($C32="","",_xlfn.LET(_xlpm.c,IFERROR(INDEX(rngEPcode,MATCH(cfgGradeSheetExam,IFERROR(rngEPseq+0,-1),0)),""),IF(COUNTIFS(nrES_PID,Cadets!$B27,nrES_Code,_xlpm.c,nrES_Att,2)&gt;0,"Retested","")))</f>
        <v/>
      </c>
    </row>
    <row r="33">
      <c r="B33" s="29">
        <f>IF(Cadets!$B28="","",ROW()-10)</f>
        <v/>
      </c>
      <c r="C33" s="28">
        <f>IF(Cadets!$B28="","",Cadets!$F28)</f>
        <v/>
      </c>
      <c r="D33" s="29">
        <f>IF($C33="","",Cadets!$B28)</f>
        <v/>
      </c>
      <c r="E33" s="29">
        <f>IF($C33="","",Cadets!$H28)</f>
        <v/>
      </c>
      <c r="F33" s="29">
        <f>IF($C33="","",_xlfn.LET(_xlpm.c,IFERROR(INDEX(rngEPcode,MATCH(cfgGradeSheetExam,IFERROR(rngEPseq+0,-1),0)),""),IF(COUNTIFS(nrES_PID,Cadets!$B28,nrES_Code,_xlpm.c,nrES_Att,1)=0,"",SUMIFS(nrES_Raw,nrES_PID,Cadets!$B28,nrES_Code,_xlpm.c,nrES_Att,1))))</f>
        <v/>
      </c>
      <c r="G33" s="29">
        <f>IF($C33="","",_xlfn.LET(_xlpm.c,IFERROR(INDEX(rngEPcode,MATCH(cfgGradeSheetExam,IFERROR(rngEPseq+0,-1),0)),""),IF(COUNTIFS(nrES_PID,Cadets!$B28,nrES_Code,_xlpm.c,nrES_Final,"Yes",nrES_Rec,"&lt;&gt;")=0,"",SUMIFS(nrES_Rec,nrES_PID,Cadets!$B28,nrES_Code,_xlpm.c,nrES_Final,"Yes"))))</f>
        <v/>
      </c>
      <c r="H33" s="29">
        <f>IF(OR($C33="",$G33=""),"",IF($G33&gt;=cfgPassingScore,"Pass","FAIL"))</f>
        <v/>
      </c>
      <c r="I33" s="29">
        <f>IF($C33="","",_xlfn.LET(_xlpm.c,IFERROR(INDEX(rngEPcode,MATCH(cfgGradeSheetExam,IFERROR(rngEPseq+0,-1),0)),""),IF(COUNTIFS(nrES_PID,Cadets!$B28,nrES_Code,_xlpm.c,nrES_Att,2)&gt;0,"Retested","")))</f>
        <v/>
      </c>
    </row>
    <row r="34">
      <c r="B34" s="29">
        <f>IF(Cadets!$B29="","",ROW()-10)</f>
        <v/>
      </c>
      <c r="C34" s="28">
        <f>IF(Cadets!$B29="","",Cadets!$F29)</f>
        <v/>
      </c>
      <c r="D34" s="29">
        <f>IF($C34="","",Cadets!$B29)</f>
        <v/>
      </c>
      <c r="E34" s="29">
        <f>IF($C34="","",Cadets!$H29)</f>
        <v/>
      </c>
      <c r="F34" s="29">
        <f>IF($C34="","",_xlfn.LET(_xlpm.c,IFERROR(INDEX(rngEPcode,MATCH(cfgGradeSheetExam,IFERROR(rngEPseq+0,-1),0)),""),IF(COUNTIFS(nrES_PID,Cadets!$B29,nrES_Code,_xlpm.c,nrES_Att,1)=0,"",SUMIFS(nrES_Raw,nrES_PID,Cadets!$B29,nrES_Code,_xlpm.c,nrES_Att,1))))</f>
        <v/>
      </c>
      <c r="G34" s="29">
        <f>IF($C34="","",_xlfn.LET(_xlpm.c,IFERROR(INDEX(rngEPcode,MATCH(cfgGradeSheetExam,IFERROR(rngEPseq+0,-1),0)),""),IF(COUNTIFS(nrES_PID,Cadets!$B29,nrES_Code,_xlpm.c,nrES_Final,"Yes",nrES_Rec,"&lt;&gt;")=0,"",SUMIFS(nrES_Rec,nrES_PID,Cadets!$B29,nrES_Code,_xlpm.c,nrES_Final,"Yes"))))</f>
        <v/>
      </c>
      <c r="H34" s="29">
        <f>IF(OR($C34="",$G34=""),"",IF($G34&gt;=cfgPassingScore,"Pass","FAIL"))</f>
        <v/>
      </c>
      <c r="I34" s="29">
        <f>IF($C34="","",_xlfn.LET(_xlpm.c,IFERROR(INDEX(rngEPcode,MATCH(cfgGradeSheetExam,IFERROR(rngEPseq+0,-1),0)),""),IF(COUNTIFS(nrES_PID,Cadets!$B29,nrES_Code,_xlpm.c,nrES_Att,2)&gt;0,"Retested","")))</f>
        <v/>
      </c>
    </row>
    <row r="35">
      <c r="B35" s="29">
        <f>IF(Cadets!$B30="","",ROW()-10)</f>
        <v/>
      </c>
      <c r="C35" s="28">
        <f>IF(Cadets!$B30="","",Cadets!$F30)</f>
        <v/>
      </c>
      <c r="D35" s="29">
        <f>IF($C35="","",Cadets!$B30)</f>
        <v/>
      </c>
      <c r="E35" s="29">
        <f>IF($C35="","",Cadets!$H30)</f>
        <v/>
      </c>
      <c r="F35" s="29">
        <f>IF($C35="","",_xlfn.LET(_xlpm.c,IFERROR(INDEX(rngEPcode,MATCH(cfgGradeSheetExam,IFERROR(rngEPseq+0,-1),0)),""),IF(COUNTIFS(nrES_PID,Cadets!$B30,nrES_Code,_xlpm.c,nrES_Att,1)=0,"",SUMIFS(nrES_Raw,nrES_PID,Cadets!$B30,nrES_Code,_xlpm.c,nrES_Att,1))))</f>
        <v/>
      </c>
      <c r="G35" s="29">
        <f>IF($C35="","",_xlfn.LET(_xlpm.c,IFERROR(INDEX(rngEPcode,MATCH(cfgGradeSheetExam,IFERROR(rngEPseq+0,-1),0)),""),IF(COUNTIFS(nrES_PID,Cadets!$B30,nrES_Code,_xlpm.c,nrES_Final,"Yes",nrES_Rec,"&lt;&gt;")=0,"",SUMIFS(nrES_Rec,nrES_PID,Cadets!$B30,nrES_Code,_xlpm.c,nrES_Final,"Yes"))))</f>
        <v/>
      </c>
      <c r="H35" s="29">
        <f>IF(OR($C35="",$G35=""),"",IF($G35&gt;=cfgPassingScore,"Pass","FAIL"))</f>
        <v/>
      </c>
      <c r="I35" s="29">
        <f>IF($C35="","",_xlfn.LET(_xlpm.c,IFERROR(INDEX(rngEPcode,MATCH(cfgGradeSheetExam,IFERROR(rngEPseq+0,-1),0)),""),IF(COUNTIFS(nrES_PID,Cadets!$B30,nrES_Code,_xlpm.c,nrES_Att,2)&gt;0,"Retested","")))</f>
        <v/>
      </c>
    </row>
    <row r="36">
      <c r="B36" s="29">
        <f>IF(Cadets!$B31="","",ROW()-10)</f>
        <v/>
      </c>
      <c r="C36" s="28">
        <f>IF(Cadets!$B31="","",Cadets!$F31)</f>
        <v/>
      </c>
      <c r="D36" s="29">
        <f>IF($C36="","",Cadets!$B31)</f>
        <v/>
      </c>
      <c r="E36" s="29">
        <f>IF($C36="","",Cadets!$H31)</f>
        <v/>
      </c>
      <c r="F36" s="29">
        <f>IF($C36="","",_xlfn.LET(_xlpm.c,IFERROR(INDEX(rngEPcode,MATCH(cfgGradeSheetExam,IFERROR(rngEPseq+0,-1),0)),""),IF(COUNTIFS(nrES_PID,Cadets!$B31,nrES_Code,_xlpm.c,nrES_Att,1)=0,"",SUMIFS(nrES_Raw,nrES_PID,Cadets!$B31,nrES_Code,_xlpm.c,nrES_Att,1))))</f>
        <v/>
      </c>
      <c r="G36" s="29">
        <f>IF($C36="","",_xlfn.LET(_xlpm.c,IFERROR(INDEX(rngEPcode,MATCH(cfgGradeSheetExam,IFERROR(rngEPseq+0,-1),0)),""),IF(COUNTIFS(nrES_PID,Cadets!$B31,nrES_Code,_xlpm.c,nrES_Final,"Yes",nrES_Rec,"&lt;&gt;")=0,"",SUMIFS(nrES_Rec,nrES_PID,Cadets!$B31,nrES_Code,_xlpm.c,nrES_Final,"Yes"))))</f>
        <v/>
      </c>
      <c r="H36" s="29">
        <f>IF(OR($C36="",$G36=""),"",IF($G36&gt;=cfgPassingScore,"Pass","FAIL"))</f>
        <v/>
      </c>
      <c r="I36" s="29">
        <f>IF($C36="","",_xlfn.LET(_xlpm.c,IFERROR(INDEX(rngEPcode,MATCH(cfgGradeSheetExam,IFERROR(rngEPseq+0,-1),0)),""),IF(COUNTIFS(nrES_PID,Cadets!$B31,nrES_Code,_xlpm.c,nrES_Att,2)&gt;0,"Retested","")))</f>
        <v/>
      </c>
    </row>
    <row r="37">
      <c r="B37" s="29">
        <f>IF(Cadets!$B32="","",ROW()-10)</f>
        <v/>
      </c>
      <c r="C37" s="28">
        <f>IF(Cadets!$B32="","",Cadets!$F32)</f>
        <v/>
      </c>
      <c r="D37" s="29">
        <f>IF($C37="","",Cadets!$B32)</f>
        <v/>
      </c>
      <c r="E37" s="29">
        <f>IF($C37="","",Cadets!$H32)</f>
        <v/>
      </c>
      <c r="F37" s="29">
        <f>IF($C37="","",_xlfn.LET(_xlpm.c,IFERROR(INDEX(rngEPcode,MATCH(cfgGradeSheetExam,IFERROR(rngEPseq+0,-1),0)),""),IF(COUNTIFS(nrES_PID,Cadets!$B32,nrES_Code,_xlpm.c,nrES_Att,1)=0,"",SUMIFS(nrES_Raw,nrES_PID,Cadets!$B32,nrES_Code,_xlpm.c,nrES_Att,1))))</f>
        <v/>
      </c>
      <c r="G37" s="29">
        <f>IF($C37="","",_xlfn.LET(_xlpm.c,IFERROR(INDEX(rngEPcode,MATCH(cfgGradeSheetExam,IFERROR(rngEPseq+0,-1),0)),""),IF(COUNTIFS(nrES_PID,Cadets!$B32,nrES_Code,_xlpm.c,nrES_Final,"Yes",nrES_Rec,"&lt;&gt;")=0,"",SUMIFS(nrES_Rec,nrES_PID,Cadets!$B32,nrES_Code,_xlpm.c,nrES_Final,"Yes"))))</f>
        <v/>
      </c>
      <c r="H37" s="29">
        <f>IF(OR($C37="",$G37=""),"",IF($G37&gt;=cfgPassingScore,"Pass","FAIL"))</f>
        <v/>
      </c>
      <c r="I37" s="29">
        <f>IF($C37="","",_xlfn.LET(_xlpm.c,IFERROR(INDEX(rngEPcode,MATCH(cfgGradeSheetExam,IFERROR(rngEPseq+0,-1),0)),""),IF(COUNTIFS(nrES_PID,Cadets!$B32,nrES_Code,_xlpm.c,nrES_Att,2)&gt;0,"Retested","")))</f>
        <v/>
      </c>
    </row>
    <row r="38">
      <c r="B38" s="29">
        <f>IF(Cadets!$B33="","",ROW()-10)</f>
        <v/>
      </c>
      <c r="C38" s="28">
        <f>IF(Cadets!$B33="","",Cadets!$F33)</f>
        <v/>
      </c>
      <c r="D38" s="29">
        <f>IF($C38="","",Cadets!$B33)</f>
        <v/>
      </c>
      <c r="E38" s="29">
        <f>IF($C38="","",Cadets!$H33)</f>
        <v/>
      </c>
      <c r="F38" s="29">
        <f>IF($C38="","",_xlfn.LET(_xlpm.c,IFERROR(INDEX(rngEPcode,MATCH(cfgGradeSheetExam,IFERROR(rngEPseq+0,-1),0)),""),IF(COUNTIFS(nrES_PID,Cadets!$B33,nrES_Code,_xlpm.c,nrES_Att,1)=0,"",SUMIFS(nrES_Raw,nrES_PID,Cadets!$B33,nrES_Code,_xlpm.c,nrES_Att,1))))</f>
        <v/>
      </c>
      <c r="G38" s="29">
        <f>IF($C38="","",_xlfn.LET(_xlpm.c,IFERROR(INDEX(rngEPcode,MATCH(cfgGradeSheetExam,IFERROR(rngEPseq+0,-1),0)),""),IF(COUNTIFS(nrES_PID,Cadets!$B33,nrES_Code,_xlpm.c,nrES_Final,"Yes",nrES_Rec,"&lt;&gt;")=0,"",SUMIFS(nrES_Rec,nrES_PID,Cadets!$B33,nrES_Code,_xlpm.c,nrES_Final,"Yes"))))</f>
        <v/>
      </c>
      <c r="H38" s="29">
        <f>IF(OR($C38="",$G38=""),"",IF($G38&gt;=cfgPassingScore,"Pass","FAIL"))</f>
        <v/>
      </c>
      <c r="I38" s="29">
        <f>IF($C38="","",_xlfn.LET(_xlpm.c,IFERROR(INDEX(rngEPcode,MATCH(cfgGradeSheetExam,IFERROR(rngEPseq+0,-1),0)),""),IF(COUNTIFS(nrES_PID,Cadets!$B33,nrES_Code,_xlpm.c,nrES_Att,2)&gt;0,"Retested","")))</f>
        <v/>
      </c>
    </row>
    <row r="39">
      <c r="B39" s="29">
        <f>IF(Cadets!$B34="","",ROW()-10)</f>
        <v/>
      </c>
      <c r="C39" s="28">
        <f>IF(Cadets!$B34="","",Cadets!$F34)</f>
        <v/>
      </c>
      <c r="D39" s="29">
        <f>IF($C39="","",Cadets!$B34)</f>
        <v/>
      </c>
      <c r="E39" s="29">
        <f>IF($C39="","",Cadets!$H34)</f>
        <v/>
      </c>
      <c r="F39" s="29">
        <f>IF($C39="","",_xlfn.LET(_xlpm.c,IFERROR(INDEX(rngEPcode,MATCH(cfgGradeSheetExam,IFERROR(rngEPseq+0,-1),0)),""),IF(COUNTIFS(nrES_PID,Cadets!$B34,nrES_Code,_xlpm.c,nrES_Att,1)=0,"",SUMIFS(nrES_Raw,nrES_PID,Cadets!$B34,nrES_Code,_xlpm.c,nrES_Att,1))))</f>
        <v/>
      </c>
      <c r="G39" s="29">
        <f>IF($C39="","",_xlfn.LET(_xlpm.c,IFERROR(INDEX(rngEPcode,MATCH(cfgGradeSheetExam,IFERROR(rngEPseq+0,-1),0)),""),IF(COUNTIFS(nrES_PID,Cadets!$B34,nrES_Code,_xlpm.c,nrES_Final,"Yes",nrES_Rec,"&lt;&gt;")=0,"",SUMIFS(nrES_Rec,nrES_PID,Cadets!$B34,nrES_Code,_xlpm.c,nrES_Final,"Yes"))))</f>
        <v/>
      </c>
      <c r="H39" s="29">
        <f>IF(OR($C39="",$G39=""),"",IF($G39&gt;=cfgPassingScore,"Pass","FAIL"))</f>
        <v/>
      </c>
      <c r="I39" s="29">
        <f>IF($C39="","",_xlfn.LET(_xlpm.c,IFERROR(INDEX(rngEPcode,MATCH(cfgGradeSheetExam,IFERROR(rngEPseq+0,-1),0)),""),IF(COUNTIFS(nrES_PID,Cadets!$B34,nrES_Code,_xlpm.c,nrES_Att,2)&gt;0,"Retested","")))</f>
        <v/>
      </c>
    </row>
    <row r="40">
      <c r="B40" s="29">
        <f>IF(Cadets!$B35="","",ROW()-10)</f>
        <v/>
      </c>
      <c r="C40" s="28">
        <f>IF(Cadets!$B35="","",Cadets!$F35)</f>
        <v/>
      </c>
      <c r="D40" s="29">
        <f>IF($C40="","",Cadets!$B35)</f>
        <v/>
      </c>
      <c r="E40" s="29">
        <f>IF($C40="","",Cadets!$H35)</f>
        <v/>
      </c>
      <c r="F40" s="29">
        <f>IF($C40="","",_xlfn.LET(_xlpm.c,IFERROR(INDEX(rngEPcode,MATCH(cfgGradeSheetExam,IFERROR(rngEPseq+0,-1),0)),""),IF(COUNTIFS(nrES_PID,Cadets!$B35,nrES_Code,_xlpm.c,nrES_Att,1)=0,"",SUMIFS(nrES_Raw,nrES_PID,Cadets!$B35,nrES_Code,_xlpm.c,nrES_Att,1))))</f>
        <v/>
      </c>
      <c r="G40" s="29">
        <f>IF($C40="","",_xlfn.LET(_xlpm.c,IFERROR(INDEX(rngEPcode,MATCH(cfgGradeSheetExam,IFERROR(rngEPseq+0,-1),0)),""),IF(COUNTIFS(nrES_PID,Cadets!$B35,nrES_Code,_xlpm.c,nrES_Final,"Yes",nrES_Rec,"&lt;&gt;")=0,"",SUMIFS(nrES_Rec,nrES_PID,Cadets!$B35,nrES_Code,_xlpm.c,nrES_Final,"Yes"))))</f>
        <v/>
      </c>
      <c r="H40" s="29">
        <f>IF(OR($C40="",$G40=""),"",IF($G40&gt;=cfgPassingScore,"Pass","FAIL"))</f>
        <v/>
      </c>
      <c r="I40" s="29">
        <f>IF($C40="","",_xlfn.LET(_xlpm.c,IFERROR(INDEX(rngEPcode,MATCH(cfgGradeSheetExam,IFERROR(rngEPseq+0,-1),0)),""),IF(COUNTIFS(nrES_PID,Cadets!$B35,nrES_Code,_xlpm.c,nrES_Att,2)&gt;0,"Retested","")))</f>
        <v/>
      </c>
    </row>
    <row r="41">
      <c r="B41" s="29">
        <f>IF(Cadets!$B36="","",ROW()-10)</f>
        <v/>
      </c>
      <c r="C41" s="28">
        <f>IF(Cadets!$B36="","",Cadets!$F36)</f>
        <v/>
      </c>
      <c r="D41" s="29">
        <f>IF($C41="","",Cadets!$B36)</f>
        <v/>
      </c>
      <c r="E41" s="29">
        <f>IF($C41="","",Cadets!$H36)</f>
        <v/>
      </c>
      <c r="F41" s="29">
        <f>IF($C41="","",_xlfn.LET(_xlpm.c,IFERROR(INDEX(rngEPcode,MATCH(cfgGradeSheetExam,IFERROR(rngEPseq+0,-1),0)),""),IF(COUNTIFS(nrES_PID,Cadets!$B36,nrES_Code,_xlpm.c,nrES_Att,1)=0,"",SUMIFS(nrES_Raw,nrES_PID,Cadets!$B36,nrES_Code,_xlpm.c,nrES_Att,1))))</f>
        <v/>
      </c>
      <c r="G41" s="29">
        <f>IF($C41="","",_xlfn.LET(_xlpm.c,IFERROR(INDEX(rngEPcode,MATCH(cfgGradeSheetExam,IFERROR(rngEPseq+0,-1),0)),""),IF(COUNTIFS(nrES_PID,Cadets!$B36,nrES_Code,_xlpm.c,nrES_Final,"Yes",nrES_Rec,"&lt;&gt;")=0,"",SUMIFS(nrES_Rec,nrES_PID,Cadets!$B36,nrES_Code,_xlpm.c,nrES_Final,"Yes"))))</f>
        <v/>
      </c>
      <c r="H41" s="29">
        <f>IF(OR($C41="",$G41=""),"",IF($G41&gt;=cfgPassingScore,"Pass","FAIL"))</f>
        <v/>
      </c>
      <c r="I41" s="29">
        <f>IF($C41="","",_xlfn.LET(_xlpm.c,IFERROR(INDEX(rngEPcode,MATCH(cfgGradeSheetExam,IFERROR(rngEPseq+0,-1),0)),""),IF(COUNTIFS(nrES_PID,Cadets!$B36,nrES_Code,_xlpm.c,nrES_Att,2)&gt;0,"Retested","")))</f>
        <v/>
      </c>
    </row>
    <row r="42">
      <c r="B42" s="29">
        <f>IF(Cadets!$B37="","",ROW()-10)</f>
        <v/>
      </c>
      <c r="C42" s="28">
        <f>IF(Cadets!$B37="","",Cadets!$F37)</f>
        <v/>
      </c>
      <c r="D42" s="29">
        <f>IF($C42="","",Cadets!$B37)</f>
        <v/>
      </c>
      <c r="E42" s="29">
        <f>IF($C42="","",Cadets!$H37)</f>
        <v/>
      </c>
      <c r="F42" s="29">
        <f>IF($C42="","",_xlfn.LET(_xlpm.c,IFERROR(INDEX(rngEPcode,MATCH(cfgGradeSheetExam,IFERROR(rngEPseq+0,-1),0)),""),IF(COUNTIFS(nrES_PID,Cadets!$B37,nrES_Code,_xlpm.c,nrES_Att,1)=0,"",SUMIFS(nrES_Raw,nrES_PID,Cadets!$B37,nrES_Code,_xlpm.c,nrES_Att,1))))</f>
        <v/>
      </c>
      <c r="G42" s="29">
        <f>IF($C42="","",_xlfn.LET(_xlpm.c,IFERROR(INDEX(rngEPcode,MATCH(cfgGradeSheetExam,IFERROR(rngEPseq+0,-1),0)),""),IF(COUNTIFS(nrES_PID,Cadets!$B37,nrES_Code,_xlpm.c,nrES_Final,"Yes",nrES_Rec,"&lt;&gt;")=0,"",SUMIFS(nrES_Rec,nrES_PID,Cadets!$B37,nrES_Code,_xlpm.c,nrES_Final,"Yes"))))</f>
        <v/>
      </c>
      <c r="H42" s="29">
        <f>IF(OR($C42="",$G42=""),"",IF($G42&gt;=cfgPassingScore,"Pass","FAIL"))</f>
        <v/>
      </c>
      <c r="I42" s="29">
        <f>IF($C42="","",_xlfn.LET(_xlpm.c,IFERROR(INDEX(rngEPcode,MATCH(cfgGradeSheetExam,IFERROR(rngEPseq+0,-1),0)),""),IF(COUNTIFS(nrES_PID,Cadets!$B37,nrES_Code,_xlpm.c,nrES_Att,2)&gt;0,"Retested","")))</f>
        <v/>
      </c>
    </row>
    <row r="43">
      <c r="B43" s="29">
        <f>IF(Cadets!$B38="","",ROW()-10)</f>
        <v/>
      </c>
      <c r="C43" s="28">
        <f>IF(Cadets!$B38="","",Cadets!$F38)</f>
        <v/>
      </c>
      <c r="D43" s="29">
        <f>IF($C43="","",Cadets!$B38)</f>
        <v/>
      </c>
      <c r="E43" s="29">
        <f>IF($C43="","",Cadets!$H38)</f>
        <v/>
      </c>
      <c r="F43" s="29">
        <f>IF($C43="","",_xlfn.LET(_xlpm.c,IFERROR(INDEX(rngEPcode,MATCH(cfgGradeSheetExam,IFERROR(rngEPseq+0,-1),0)),""),IF(COUNTIFS(nrES_PID,Cadets!$B38,nrES_Code,_xlpm.c,nrES_Att,1)=0,"",SUMIFS(nrES_Raw,nrES_PID,Cadets!$B38,nrES_Code,_xlpm.c,nrES_Att,1))))</f>
        <v/>
      </c>
      <c r="G43" s="29">
        <f>IF($C43="","",_xlfn.LET(_xlpm.c,IFERROR(INDEX(rngEPcode,MATCH(cfgGradeSheetExam,IFERROR(rngEPseq+0,-1),0)),""),IF(COUNTIFS(nrES_PID,Cadets!$B38,nrES_Code,_xlpm.c,nrES_Final,"Yes",nrES_Rec,"&lt;&gt;")=0,"",SUMIFS(nrES_Rec,nrES_PID,Cadets!$B38,nrES_Code,_xlpm.c,nrES_Final,"Yes"))))</f>
        <v/>
      </c>
      <c r="H43" s="29">
        <f>IF(OR($C43="",$G43=""),"",IF($G43&gt;=cfgPassingScore,"Pass","FAIL"))</f>
        <v/>
      </c>
      <c r="I43" s="29">
        <f>IF($C43="","",_xlfn.LET(_xlpm.c,IFERROR(INDEX(rngEPcode,MATCH(cfgGradeSheetExam,IFERROR(rngEPseq+0,-1),0)),""),IF(COUNTIFS(nrES_PID,Cadets!$B38,nrES_Code,_xlpm.c,nrES_Att,2)&gt;0,"Retested","")))</f>
        <v/>
      </c>
    </row>
    <row r="44">
      <c r="B44" s="29">
        <f>IF(Cadets!$B39="","",ROW()-10)</f>
        <v/>
      </c>
      <c r="C44" s="28">
        <f>IF(Cadets!$B39="","",Cadets!$F39)</f>
        <v/>
      </c>
      <c r="D44" s="29">
        <f>IF($C44="","",Cadets!$B39)</f>
        <v/>
      </c>
      <c r="E44" s="29">
        <f>IF($C44="","",Cadets!$H39)</f>
        <v/>
      </c>
      <c r="F44" s="29">
        <f>IF($C44="","",_xlfn.LET(_xlpm.c,IFERROR(INDEX(rngEPcode,MATCH(cfgGradeSheetExam,IFERROR(rngEPseq+0,-1),0)),""),IF(COUNTIFS(nrES_PID,Cadets!$B39,nrES_Code,_xlpm.c,nrES_Att,1)=0,"",SUMIFS(nrES_Raw,nrES_PID,Cadets!$B39,nrES_Code,_xlpm.c,nrES_Att,1))))</f>
        <v/>
      </c>
      <c r="G44" s="29">
        <f>IF($C44="","",_xlfn.LET(_xlpm.c,IFERROR(INDEX(rngEPcode,MATCH(cfgGradeSheetExam,IFERROR(rngEPseq+0,-1),0)),""),IF(COUNTIFS(nrES_PID,Cadets!$B39,nrES_Code,_xlpm.c,nrES_Final,"Yes",nrES_Rec,"&lt;&gt;")=0,"",SUMIFS(nrES_Rec,nrES_PID,Cadets!$B39,nrES_Code,_xlpm.c,nrES_Final,"Yes"))))</f>
        <v/>
      </c>
      <c r="H44" s="29">
        <f>IF(OR($C44="",$G44=""),"",IF($G44&gt;=cfgPassingScore,"Pass","FAIL"))</f>
        <v/>
      </c>
      <c r="I44" s="29">
        <f>IF($C44="","",_xlfn.LET(_xlpm.c,IFERROR(INDEX(rngEPcode,MATCH(cfgGradeSheetExam,IFERROR(rngEPseq+0,-1),0)),""),IF(COUNTIFS(nrES_PID,Cadets!$B39,nrES_Code,_xlpm.c,nrES_Att,2)&gt;0,"Retested","")))</f>
        <v/>
      </c>
    </row>
    <row r="45">
      <c r="B45" s="29">
        <f>IF(Cadets!$B40="","",ROW()-10)</f>
        <v/>
      </c>
      <c r="C45" s="28">
        <f>IF(Cadets!$B40="","",Cadets!$F40)</f>
        <v/>
      </c>
      <c r="D45" s="29">
        <f>IF($C45="","",Cadets!$B40)</f>
        <v/>
      </c>
      <c r="E45" s="29">
        <f>IF($C45="","",Cadets!$H40)</f>
        <v/>
      </c>
      <c r="F45" s="29">
        <f>IF($C45="","",_xlfn.LET(_xlpm.c,IFERROR(INDEX(rngEPcode,MATCH(cfgGradeSheetExam,IFERROR(rngEPseq+0,-1),0)),""),IF(COUNTIFS(nrES_PID,Cadets!$B40,nrES_Code,_xlpm.c,nrES_Att,1)=0,"",SUMIFS(nrES_Raw,nrES_PID,Cadets!$B40,nrES_Code,_xlpm.c,nrES_Att,1))))</f>
        <v/>
      </c>
      <c r="G45" s="29">
        <f>IF($C45="","",_xlfn.LET(_xlpm.c,IFERROR(INDEX(rngEPcode,MATCH(cfgGradeSheetExam,IFERROR(rngEPseq+0,-1),0)),""),IF(COUNTIFS(nrES_PID,Cadets!$B40,nrES_Code,_xlpm.c,nrES_Final,"Yes",nrES_Rec,"&lt;&gt;")=0,"",SUMIFS(nrES_Rec,nrES_PID,Cadets!$B40,nrES_Code,_xlpm.c,nrES_Final,"Yes"))))</f>
        <v/>
      </c>
      <c r="H45" s="29">
        <f>IF(OR($C45="",$G45=""),"",IF($G45&gt;=cfgPassingScore,"Pass","FAIL"))</f>
        <v/>
      </c>
      <c r="I45" s="29">
        <f>IF($C45="","",_xlfn.LET(_xlpm.c,IFERROR(INDEX(rngEPcode,MATCH(cfgGradeSheetExam,IFERROR(rngEPseq+0,-1),0)),""),IF(COUNTIFS(nrES_PID,Cadets!$B40,nrES_Code,_xlpm.c,nrES_Att,2)&gt;0,"Retested","")))</f>
        <v/>
      </c>
    </row>
    <row r="46">
      <c r="B46" s="29">
        <f>IF(Cadets!$B41="","",ROW()-10)</f>
        <v/>
      </c>
      <c r="C46" s="28">
        <f>IF(Cadets!$B41="","",Cadets!$F41)</f>
        <v/>
      </c>
      <c r="D46" s="29">
        <f>IF($C46="","",Cadets!$B41)</f>
        <v/>
      </c>
      <c r="E46" s="29">
        <f>IF($C46="","",Cadets!$H41)</f>
        <v/>
      </c>
      <c r="F46" s="29">
        <f>IF($C46="","",_xlfn.LET(_xlpm.c,IFERROR(INDEX(rngEPcode,MATCH(cfgGradeSheetExam,IFERROR(rngEPseq+0,-1),0)),""),IF(COUNTIFS(nrES_PID,Cadets!$B41,nrES_Code,_xlpm.c,nrES_Att,1)=0,"",SUMIFS(nrES_Raw,nrES_PID,Cadets!$B41,nrES_Code,_xlpm.c,nrES_Att,1))))</f>
        <v/>
      </c>
      <c r="G46" s="29">
        <f>IF($C46="","",_xlfn.LET(_xlpm.c,IFERROR(INDEX(rngEPcode,MATCH(cfgGradeSheetExam,IFERROR(rngEPseq+0,-1),0)),""),IF(COUNTIFS(nrES_PID,Cadets!$B41,nrES_Code,_xlpm.c,nrES_Final,"Yes",nrES_Rec,"&lt;&gt;")=0,"",SUMIFS(nrES_Rec,nrES_PID,Cadets!$B41,nrES_Code,_xlpm.c,nrES_Final,"Yes"))))</f>
        <v/>
      </c>
      <c r="H46" s="29">
        <f>IF(OR($C46="",$G46=""),"",IF($G46&gt;=cfgPassingScore,"Pass","FAIL"))</f>
        <v/>
      </c>
      <c r="I46" s="29">
        <f>IF($C46="","",_xlfn.LET(_xlpm.c,IFERROR(INDEX(rngEPcode,MATCH(cfgGradeSheetExam,IFERROR(rngEPseq+0,-1),0)),""),IF(COUNTIFS(nrES_PID,Cadets!$B41,nrES_Code,_xlpm.c,nrES_Att,2)&gt;0,"Retested","")))</f>
        <v/>
      </c>
    </row>
    <row r="47">
      <c r="B47" s="29">
        <f>IF(Cadets!$B42="","",ROW()-10)</f>
        <v/>
      </c>
      <c r="C47" s="28">
        <f>IF(Cadets!$B42="","",Cadets!$F42)</f>
        <v/>
      </c>
      <c r="D47" s="29">
        <f>IF($C47="","",Cadets!$B42)</f>
        <v/>
      </c>
      <c r="E47" s="29">
        <f>IF($C47="","",Cadets!$H42)</f>
        <v/>
      </c>
      <c r="F47" s="29">
        <f>IF($C47="","",_xlfn.LET(_xlpm.c,IFERROR(INDEX(rngEPcode,MATCH(cfgGradeSheetExam,IFERROR(rngEPseq+0,-1),0)),""),IF(COUNTIFS(nrES_PID,Cadets!$B42,nrES_Code,_xlpm.c,nrES_Att,1)=0,"",SUMIFS(nrES_Raw,nrES_PID,Cadets!$B42,nrES_Code,_xlpm.c,nrES_Att,1))))</f>
        <v/>
      </c>
      <c r="G47" s="29">
        <f>IF($C47="","",_xlfn.LET(_xlpm.c,IFERROR(INDEX(rngEPcode,MATCH(cfgGradeSheetExam,IFERROR(rngEPseq+0,-1),0)),""),IF(COUNTIFS(nrES_PID,Cadets!$B42,nrES_Code,_xlpm.c,nrES_Final,"Yes",nrES_Rec,"&lt;&gt;")=0,"",SUMIFS(nrES_Rec,nrES_PID,Cadets!$B42,nrES_Code,_xlpm.c,nrES_Final,"Yes"))))</f>
        <v/>
      </c>
      <c r="H47" s="29">
        <f>IF(OR($C47="",$G47=""),"",IF($G47&gt;=cfgPassingScore,"Pass","FAIL"))</f>
        <v/>
      </c>
      <c r="I47" s="29">
        <f>IF($C47="","",_xlfn.LET(_xlpm.c,IFERROR(INDEX(rngEPcode,MATCH(cfgGradeSheetExam,IFERROR(rngEPseq+0,-1),0)),""),IF(COUNTIFS(nrES_PID,Cadets!$B42,nrES_Code,_xlpm.c,nrES_Att,2)&gt;0,"Retested","")))</f>
        <v/>
      </c>
    </row>
    <row r="48">
      <c r="B48" s="29">
        <f>IF(Cadets!$B43="","",ROW()-10)</f>
        <v/>
      </c>
      <c r="C48" s="28">
        <f>IF(Cadets!$B43="","",Cadets!$F43)</f>
        <v/>
      </c>
      <c r="D48" s="29">
        <f>IF($C48="","",Cadets!$B43)</f>
        <v/>
      </c>
      <c r="E48" s="29">
        <f>IF($C48="","",Cadets!$H43)</f>
        <v/>
      </c>
      <c r="F48" s="29">
        <f>IF($C48="","",_xlfn.LET(_xlpm.c,IFERROR(INDEX(rngEPcode,MATCH(cfgGradeSheetExam,IFERROR(rngEPseq+0,-1),0)),""),IF(COUNTIFS(nrES_PID,Cadets!$B43,nrES_Code,_xlpm.c,nrES_Att,1)=0,"",SUMIFS(nrES_Raw,nrES_PID,Cadets!$B43,nrES_Code,_xlpm.c,nrES_Att,1))))</f>
        <v/>
      </c>
      <c r="G48" s="29">
        <f>IF($C48="","",_xlfn.LET(_xlpm.c,IFERROR(INDEX(rngEPcode,MATCH(cfgGradeSheetExam,IFERROR(rngEPseq+0,-1),0)),""),IF(COUNTIFS(nrES_PID,Cadets!$B43,nrES_Code,_xlpm.c,nrES_Final,"Yes",nrES_Rec,"&lt;&gt;")=0,"",SUMIFS(nrES_Rec,nrES_PID,Cadets!$B43,nrES_Code,_xlpm.c,nrES_Final,"Yes"))))</f>
        <v/>
      </c>
      <c r="H48" s="29">
        <f>IF(OR($C48="",$G48=""),"",IF($G48&gt;=cfgPassingScore,"Pass","FAIL"))</f>
        <v/>
      </c>
      <c r="I48" s="29">
        <f>IF($C48="","",_xlfn.LET(_xlpm.c,IFERROR(INDEX(rngEPcode,MATCH(cfgGradeSheetExam,IFERROR(rngEPseq+0,-1),0)),""),IF(COUNTIFS(nrES_PID,Cadets!$B43,nrES_Code,_xlpm.c,nrES_Att,2)&gt;0,"Retested","")))</f>
        <v/>
      </c>
    </row>
    <row r="49">
      <c r="B49" s="29">
        <f>IF(Cadets!$B44="","",ROW()-10)</f>
        <v/>
      </c>
      <c r="C49" s="28">
        <f>IF(Cadets!$B44="","",Cadets!$F44)</f>
        <v/>
      </c>
      <c r="D49" s="29">
        <f>IF($C49="","",Cadets!$B44)</f>
        <v/>
      </c>
      <c r="E49" s="29">
        <f>IF($C49="","",Cadets!$H44)</f>
        <v/>
      </c>
      <c r="F49" s="29">
        <f>IF($C49="","",_xlfn.LET(_xlpm.c,IFERROR(INDEX(rngEPcode,MATCH(cfgGradeSheetExam,IFERROR(rngEPseq+0,-1),0)),""),IF(COUNTIFS(nrES_PID,Cadets!$B44,nrES_Code,_xlpm.c,nrES_Att,1)=0,"",SUMIFS(nrES_Raw,nrES_PID,Cadets!$B44,nrES_Code,_xlpm.c,nrES_Att,1))))</f>
        <v/>
      </c>
      <c r="G49" s="29">
        <f>IF($C49="","",_xlfn.LET(_xlpm.c,IFERROR(INDEX(rngEPcode,MATCH(cfgGradeSheetExam,IFERROR(rngEPseq+0,-1),0)),""),IF(COUNTIFS(nrES_PID,Cadets!$B44,nrES_Code,_xlpm.c,nrES_Final,"Yes",nrES_Rec,"&lt;&gt;")=0,"",SUMIFS(nrES_Rec,nrES_PID,Cadets!$B44,nrES_Code,_xlpm.c,nrES_Final,"Yes"))))</f>
        <v/>
      </c>
      <c r="H49" s="29">
        <f>IF(OR($C49="",$G49=""),"",IF($G49&gt;=cfgPassingScore,"Pass","FAIL"))</f>
        <v/>
      </c>
      <c r="I49" s="29">
        <f>IF($C49="","",_xlfn.LET(_xlpm.c,IFERROR(INDEX(rngEPcode,MATCH(cfgGradeSheetExam,IFERROR(rngEPseq+0,-1),0)),""),IF(COUNTIFS(nrES_PID,Cadets!$B44,nrES_Code,_xlpm.c,nrES_Att,2)&gt;0,"Retested","")))</f>
        <v/>
      </c>
    </row>
    <row r="50">
      <c r="B50" s="29">
        <f>IF(Cadets!$B45="","",ROW()-10)</f>
        <v/>
      </c>
      <c r="C50" s="28">
        <f>IF(Cadets!$B45="","",Cadets!$F45)</f>
        <v/>
      </c>
      <c r="D50" s="29">
        <f>IF($C50="","",Cadets!$B45)</f>
        <v/>
      </c>
      <c r="E50" s="29">
        <f>IF($C50="","",Cadets!$H45)</f>
        <v/>
      </c>
      <c r="F50" s="29">
        <f>IF($C50="","",_xlfn.LET(_xlpm.c,IFERROR(INDEX(rngEPcode,MATCH(cfgGradeSheetExam,IFERROR(rngEPseq+0,-1),0)),""),IF(COUNTIFS(nrES_PID,Cadets!$B45,nrES_Code,_xlpm.c,nrES_Att,1)=0,"",SUMIFS(nrES_Raw,nrES_PID,Cadets!$B45,nrES_Code,_xlpm.c,nrES_Att,1))))</f>
        <v/>
      </c>
      <c r="G50" s="29">
        <f>IF($C50="","",_xlfn.LET(_xlpm.c,IFERROR(INDEX(rngEPcode,MATCH(cfgGradeSheetExam,IFERROR(rngEPseq+0,-1),0)),""),IF(COUNTIFS(nrES_PID,Cadets!$B45,nrES_Code,_xlpm.c,nrES_Final,"Yes",nrES_Rec,"&lt;&gt;")=0,"",SUMIFS(nrES_Rec,nrES_PID,Cadets!$B45,nrES_Code,_xlpm.c,nrES_Final,"Yes"))))</f>
        <v/>
      </c>
      <c r="H50" s="29">
        <f>IF(OR($C50="",$G50=""),"",IF($G50&gt;=cfgPassingScore,"Pass","FAIL"))</f>
        <v/>
      </c>
      <c r="I50" s="29">
        <f>IF($C50="","",_xlfn.LET(_xlpm.c,IFERROR(INDEX(rngEPcode,MATCH(cfgGradeSheetExam,IFERROR(rngEPseq+0,-1),0)),""),IF(COUNTIFS(nrES_PID,Cadets!$B45,nrES_Code,_xlpm.c,nrES_Att,2)&gt;0,"Retested","")))</f>
        <v/>
      </c>
    </row>
    <row r="51">
      <c r="B51" s="29">
        <f>IF(Cadets!$B46="","",ROW()-10)</f>
        <v/>
      </c>
      <c r="C51" s="28">
        <f>IF(Cadets!$B46="","",Cadets!$F46)</f>
        <v/>
      </c>
      <c r="D51" s="29">
        <f>IF($C51="","",Cadets!$B46)</f>
        <v/>
      </c>
      <c r="E51" s="29">
        <f>IF($C51="","",Cadets!$H46)</f>
        <v/>
      </c>
      <c r="F51" s="29">
        <f>IF($C51="","",_xlfn.LET(_xlpm.c,IFERROR(INDEX(rngEPcode,MATCH(cfgGradeSheetExam,IFERROR(rngEPseq+0,-1),0)),""),IF(COUNTIFS(nrES_PID,Cadets!$B46,nrES_Code,_xlpm.c,nrES_Att,1)=0,"",SUMIFS(nrES_Raw,nrES_PID,Cadets!$B46,nrES_Code,_xlpm.c,nrES_Att,1))))</f>
        <v/>
      </c>
      <c r="G51" s="29">
        <f>IF($C51="","",_xlfn.LET(_xlpm.c,IFERROR(INDEX(rngEPcode,MATCH(cfgGradeSheetExam,IFERROR(rngEPseq+0,-1),0)),""),IF(COUNTIFS(nrES_PID,Cadets!$B46,nrES_Code,_xlpm.c,nrES_Final,"Yes",nrES_Rec,"&lt;&gt;")=0,"",SUMIFS(nrES_Rec,nrES_PID,Cadets!$B46,nrES_Code,_xlpm.c,nrES_Final,"Yes"))))</f>
        <v/>
      </c>
      <c r="H51" s="29">
        <f>IF(OR($C51="",$G51=""),"",IF($G51&gt;=cfgPassingScore,"Pass","FAIL"))</f>
        <v/>
      </c>
      <c r="I51" s="29">
        <f>IF($C51="","",_xlfn.LET(_xlpm.c,IFERROR(INDEX(rngEPcode,MATCH(cfgGradeSheetExam,IFERROR(rngEPseq+0,-1),0)),""),IF(COUNTIFS(nrES_PID,Cadets!$B46,nrES_Code,_xlpm.c,nrES_Att,2)&gt;0,"Retested","")))</f>
        <v/>
      </c>
    </row>
    <row r="52">
      <c r="B52" s="29">
        <f>IF(Cadets!$B47="","",ROW()-10)</f>
        <v/>
      </c>
      <c r="C52" s="28">
        <f>IF(Cadets!$B47="","",Cadets!$F47)</f>
        <v/>
      </c>
      <c r="D52" s="29">
        <f>IF($C52="","",Cadets!$B47)</f>
        <v/>
      </c>
      <c r="E52" s="29">
        <f>IF($C52="","",Cadets!$H47)</f>
        <v/>
      </c>
      <c r="F52" s="29">
        <f>IF($C52="","",_xlfn.LET(_xlpm.c,IFERROR(INDEX(rngEPcode,MATCH(cfgGradeSheetExam,IFERROR(rngEPseq+0,-1),0)),""),IF(COUNTIFS(nrES_PID,Cadets!$B47,nrES_Code,_xlpm.c,nrES_Att,1)=0,"",SUMIFS(nrES_Raw,nrES_PID,Cadets!$B47,nrES_Code,_xlpm.c,nrES_Att,1))))</f>
        <v/>
      </c>
      <c r="G52" s="29">
        <f>IF($C52="","",_xlfn.LET(_xlpm.c,IFERROR(INDEX(rngEPcode,MATCH(cfgGradeSheetExam,IFERROR(rngEPseq+0,-1),0)),""),IF(COUNTIFS(nrES_PID,Cadets!$B47,nrES_Code,_xlpm.c,nrES_Final,"Yes",nrES_Rec,"&lt;&gt;")=0,"",SUMIFS(nrES_Rec,nrES_PID,Cadets!$B47,nrES_Code,_xlpm.c,nrES_Final,"Yes"))))</f>
        <v/>
      </c>
      <c r="H52" s="29">
        <f>IF(OR($C52="",$G52=""),"",IF($G52&gt;=cfgPassingScore,"Pass","FAIL"))</f>
        <v/>
      </c>
      <c r="I52" s="29">
        <f>IF($C52="","",_xlfn.LET(_xlpm.c,IFERROR(INDEX(rngEPcode,MATCH(cfgGradeSheetExam,IFERROR(rngEPseq+0,-1),0)),""),IF(COUNTIFS(nrES_PID,Cadets!$B47,nrES_Code,_xlpm.c,nrES_Att,2)&gt;0,"Retested","")))</f>
        <v/>
      </c>
    </row>
    <row r="53">
      <c r="B53" s="29">
        <f>IF(Cadets!$B48="","",ROW()-10)</f>
        <v/>
      </c>
      <c r="C53" s="28">
        <f>IF(Cadets!$B48="","",Cadets!$F48)</f>
        <v/>
      </c>
      <c r="D53" s="29">
        <f>IF($C53="","",Cadets!$B48)</f>
        <v/>
      </c>
      <c r="E53" s="29">
        <f>IF($C53="","",Cadets!$H48)</f>
        <v/>
      </c>
      <c r="F53" s="29">
        <f>IF($C53="","",_xlfn.LET(_xlpm.c,IFERROR(INDEX(rngEPcode,MATCH(cfgGradeSheetExam,IFERROR(rngEPseq+0,-1),0)),""),IF(COUNTIFS(nrES_PID,Cadets!$B48,nrES_Code,_xlpm.c,nrES_Att,1)=0,"",SUMIFS(nrES_Raw,nrES_PID,Cadets!$B48,nrES_Code,_xlpm.c,nrES_Att,1))))</f>
        <v/>
      </c>
      <c r="G53" s="29">
        <f>IF($C53="","",_xlfn.LET(_xlpm.c,IFERROR(INDEX(rngEPcode,MATCH(cfgGradeSheetExam,IFERROR(rngEPseq+0,-1),0)),""),IF(COUNTIFS(nrES_PID,Cadets!$B48,nrES_Code,_xlpm.c,nrES_Final,"Yes",nrES_Rec,"&lt;&gt;")=0,"",SUMIFS(nrES_Rec,nrES_PID,Cadets!$B48,nrES_Code,_xlpm.c,nrES_Final,"Yes"))))</f>
        <v/>
      </c>
      <c r="H53" s="29">
        <f>IF(OR($C53="",$G53=""),"",IF($G53&gt;=cfgPassingScore,"Pass","FAIL"))</f>
        <v/>
      </c>
      <c r="I53" s="29">
        <f>IF($C53="","",_xlfn.LET(_xlpm.c,IFERROR(INDEX(rngEPcode,MATCH(cfgGradeSheetExam,IFERROR(rngEPseq+0,-1),0)),""),IF(COUNTIFS(nrES_PID,Cadets!$B48,nrES_Code,_xlpm.c,nrES_Att,2)&gt;0,"Retested","")))</f>
        <v/>
      </c>
    </row>
    <row r="54">
      <c r="B54" s="29">
        <f>IF(Cadets!$B49="","",ROW()-10)</f>
        <v/>
      </c>
      <c r="C54" s="28">
        <f>IF(Cadets!$B49="","",Cadets!$F49)</f>
        <v/>
      </c>
      <c r="D54" s="29">
        <f>IF($C54="","",Cadets!$B49)</f>
        <v/>
      </c>
      <c r="E54" s="29">
        <f>IF($C54="","",Cadets!$H49)</f>
        <v/>
      </c>
      <c r="F54" s="29">
        <f>IF($C54="","",_xlfn.LET(_xlpm.c,IFERROR(INDEX(rngEPcode,MATCH(cfgGradeSheetExam,IFERROR(rngEPseq+0,-1),0)),""),IF(COUNTIFS(nrES_PID,Cadets!$B49,nrES_Code,_xlpm.c,nrES_Att,1)=0,"",SUMIFS(nrES_Raw,nrES_PID,Cadets!$B49,nrES_Code,_xlpm.c,nrES_Att,1))))</f>
        <v/>
      </c>
      <c r="G54" s="29">
        <f>IF($C54="","",_xlfn.LET(_xlpm.c,IFERROR(INDEX(rngEPcode,MATCH(cfgGradeSheetExam,IFERROR(rngEPseq+0,-1),0)),""),IF(COUNTIFS(nrES_PID,Cadets!$B49,nrES_Code,_xlpm.c,nrES_Final,"Yes",nrES_Rec,"&lt;&gt;")=0,"",SUMIFS(nrES_Rec,nrES_PID,Cadets!$B49,nrES_Code,_xlpm.c,nrES_Final,"Yes"))))</f>
        <v/>
      </c>
      <c r="H54" s="29">
        <f>IF(OR($C54="",$G54=""),"",IF($G54&gt;=cfgPassingScore,"Pass","FAIL"))</f>
        <v/>
      </c>
      <c r="I54" s="29">
        <f>IF($C54="","",_xlfn.LET(_xlpm.c,IFERROR(INDEX(rngEPcode,MATCH(cfgGradeSheetExam,IFERROR(rngEPseq+0,-1),0)),""),IF(COUNTIFS(nrES_PID,Cadets!$B49,nrES_Code,_xlpm.c,nrES_Att,2)&gt;0,"Retested","")))</f>
        <v/>
      </c>
    </row>
    <row r="55">
      <c r="B55" s="29">
        <f>IF(Cadets!$B50="","",ROW()-10)</f>
        <v/>
      </c>
      <c r="C55" s="28">
        <f>IF(Cadets!$B50="","",Cadets!$F50)</f>
        <v/>
      </c>
      <c r="D55" s="29">
        <f>IF($C55="","",Cadets!$B50)</f>
        <v/>
      </c>
      <c r="E55" s="29">
        <f>IF($C55="","",Cadets!$H50)</f>
        <v/>
      </c>
      <c r="F55" s="29">
        <f>IF($C55="","",_xlfn.LET(_xlpm.c,IFERROR(INDEX(rngEPcode,MATCH(cfgGradeSheetExam,IFERROR(rngEPseq+0,-1),0)),""),IF(COUNTIFS(nrES_PID,Cadets!$B50,nrES_Code,_xlpm.c,nrES_Att,1)=0,"",SUMIFS(nrES_Raw,nrES_PID,Cadets!$B50,nrES_Code,_xlpm.c,nrES_Att,1))))</f>
        <v/>
      </c>
      <c r="G55" s="29">
        <f>IF($C55="","",_xlfn.LET(_xlpm.c,IFERROR(INDEX(rngEPcode,MATCH(cfgGradeSheetExam,IFERROR(rngEPseq+0,-1),0)),""),IF(COUNTIFS(nrES_PID,Cadets!$B50,nrES_Code,_xlpm.c,nrES_Final,"Yes",nrES_Rec,"&lt;&gt;")=0,"",SUMIFS(nrES_Rec,nrES_PID,Cadets!$B50,nrES_Code,_xlpm.c,nrES_Final,"Yes"))))</f>
        <v/>
      </c>
      <c r="H55" s="29">
        <f>IF(OR($C55="",$G55=""),"",IF($G55&gt;=cfgPassingScore,"Pass","FAIL"))</f>
        <v/>
      </c>
      <c r="I55" s="29">
        <f>IF($C55="","",_xlfn.LET(_xlpm.c,IFERROR(INDEX(rngEPcode,MATCH(cfgGradeSheetExam,IFERROR(rngEPseq+0,-1),0)),""),IF(COUNTIFS(nrES_PID,Cadets!$B50,nrES_Code,_xlpm.c,nrES_Att,2)&gt;0,"Retested","")))</f>
        <v/>
      </c>
    </row>
    <row r="56">
      <c r="B56" s="29">
        <f>IF(Cadets!$B51="","",ROW()-10)</f>
        <v/>
      </c>
      <c r="C56" s="28">
        <f>IF(Cadets!$B51="","",Cadets!$F51)</f>
        <v/>
      </c>
      <c r="D56" s="29">
        <f>IF($C56="","",Cadets!$B51)</f>
        <v/>
      </c>
      <c r="E56" s="29">
        <f>IF($C56="","",Cadets!$H51)</f>
        <v/>
      </c>
      <c r="F56" s="29">
        <f>IF($C56="","",_xlfn.LET(_xlpm.c,IFERROR(INDEX(rngEPcode,MATCH(cfgGradeSheetExam,IFERROR(rngEPseq+0,-1),0)),""),IF(COUNTIFS(nrES_PID,Cadets!$B51,nrES_Code,_xlpm.c,nrES_Att,1)=0,"",SUMIFS(nrES_Raw,nrES_PID,Cadets!$B51,nrES_Code,_xlpm.c,nrES_Att,1))))</f>
        <v/>
      </c>
      <c r="G56" s="29">
        <f>IF($C56="","",_xlfn.LET(_xlpm.c,IFERROR(INDEX(rngEPcode,MATCH(cfgGradeSheetExam,IFERROR(rngEPseq+0,-1),0)),""),IF(COUNTIFS(nrES_PID,Cadets!$B51,nrES_Code,_xlpm.c,nrES_Final,"Yes",nrES_Rec,"&lt;&gt;")=0,"",SUMIFS(nrES_Rec,nrES_PID,Cadets!$B51,nrES_Code,_xlpm.c,nrES_Final,"Yes"))))</f>
        <v/>
      </c>
      <c r="H56" s="29">
        <f>IF(OR($C56="",$G56=""),"",IF($G56&gt;=cfgPassingScore,"Pass","FAIL"))</f>
        <v/>
      </c>
      <c r="I56" s="29">
        <f>IF($C56="","",_xlfn.LET(_xlpm.c,IFERROR(INDEX(rngEPcode,MATCH(cfgGradeSheetExam,IFERROR(rngEPseq+0,-1),0)),""),IF(COUNTIFS(nrES_PID,Cadets!$B51,nrES_Code,_xlpm.c,nrES_Att,2)&gt;0,"Retested","")))</f>
        <v/>
      </c>
    </row>
    <row r="57">
      <c r="B57" s="29">
        <f>IF(Cadets!$B52="","",ROW()-10)</f>
        <v/>
      </c>
      <c r="C57" s="28">
        <f>IF(Cadets!$B52="","",Cadets!$F52)</f>
        <v/>
      </c>
      <c r="D57" s="29">
        <f>IF($C57="","",Cadets!$B52)</f>
        <v/>
      </c>
      <c r="E57" s="29">
        <f>IF($C57="","",Cadets!$H52)</f>
        <v/>
      </c>
      <c r="F57" s="29">
        <f>IF($C57="","",_xlfn.LET(_xlpm.c,IFERROR(INDEX(rngEPcode,MATCH(cfgGradeSheetExam,IFERROR(rngEPseq+0,-1),0)),""),IF(COUNTIFS(nrES_PID,Cadets!$B52,nrES_Code,_xlpm.c,nrES_Att,1)=0,"",SUMIFS(nrES_Raw,nrES_PID,Cadets!$B52,nrES_Code,_xlpm.c,nrES_Att,1))))</f>
        <v/>
      </c>
      <c r="G57" s="29">
        <f>IF($C57="","",_xlfn.LET(_xlpm.c,IFERROR(INDEX(rngEPcode,MATCH(cfgGradeSheetExam,IFERROR(rngEPseq+0,-1),0)),""),IF(COUNTIFS(nrES_PID,Cadets!$B52,nrES_Code,_xlpm.c,nrES_Final,"Yes",nrES_Rec,"&lt;&gt;")=0,"",SUMIFS(nrES_Rec,nrES_PID,Cadets!$B52,nrES_Code,_xlpm.c,nrES_Final,"Yes"))))</f>
        <v/>
      </c>
      <c r="H57" s="29">
        <f>IF(OR($C57="",$G57=""),"",IF($G57&gt;=cfgPassingScore,"Pass","FAIL"))</f>
        <v/>
      </c>
      <c r="I57" s="29">
        <f>IF($C57="","",_xlfn.LET(_xlpm.c,IFERROR(INDEX(rngEPcode,MATCH(cfgGradeSheetExam,IFERROR(rngEPseq+0,-1),0)),""),IF(COUNTIFS(nrES_PID,Cadets!$B52,nrES_Code,_xlpm.c,nrES_Att,2)&gt;0,"Retested","")))</f>
        <v/>
      </c>
    </row>
    <row r="58">
      <c r="B58" s="29">
        <f>IF(Cadets!$B53="","",ROW()-10)</f>
        <v/>
      </c>
      <c r="C58" s="28">
        <f>IF(Cadets!$B53="","",Cadets!$F53)</f>
        <v/>
      </c>
      <c r="D58" s="29">
        <f>IF($C58="","",Cadets!$B53)</f>
        <v/>
      </c>
      <c r="E58" s="29">
        <f>IF($C58="","",Cadets!$H53)</f>
        <v/>
      </c>
      <c r="F58" s="29">
        <f>IF($C58="","",_xlfn.LET(_xlpm.c,IFERROR(INDEX(rngEPcode,MATCH(cfgGradeSheetExam,IFERROR(rngEPseq+0,-1),0)),""),IF(COUNTIFS(nrES_PID,Cadets!$B53,nrES_Code,_xlpm.c,nrES_Att,1)=0,"",SUMIFS(nrES_Raw,nrES_PID,Cadets!$B53,nrES_Code,_xlpm.c,nrES_Att,1))))</f>
        <v/>
      </c>
      <c r="G58" s="29">
        <f>IF($C58="","",_xlfn.LET(_xlpm.c,IFERROR(INDEX(rngEPcode,MATCH(cfgGradeSheetExam,IFERROR(rngEPseq+0,-1),0)),""),IF(COUNTIFS(nrES_PID,Cadets!$B53,nrES_Code,_xlpm.c,nrES_Final,"Yes",nrES_Rec,"&lt;&gt;")=0,"",SUMIFS(nrES_Rec,nrES_PID,Cadets!$B53,nrES_Code,_xlpm.c,nrES_Final,"Yes"))))</f>
        <v/>
      </c>
      <c r="H58" s="29">
        <f>IF(OR($C58="",$G58=""),"",IF($G58&gt;=cfgPassingScore,"Pass","FAIL"))</f>
        <v/>
      </c>
      <c r="I58" s="29">
        <f>IF($C58="","",_xlfn.LET(_xlpm.c,IFERROR(INDEX(rngEPcode,MATCH(cfgGradeSheetExam,IFERROR(rngEPseq+0,-1),0)),""),IF(COUNTIFS(nrES_PID,Cadets!$B53,nrES_Code,_xlpm.c,nrES_Att,2)&gt;0,"Retested","")))</f>
        <v/>
      </c>
    </row>
    <row r="59">
      <c r="B59" s="29">
        <f>IF(Cadets!$B54="","",ROW()-10)</f>
        <v/>
      </c>
      <c r="C59" s="28">
        <f>IF(Cadets!$B54="","",Cadets!$F54)</f>
        <v/>
      </c>
      <c r="D59" s="29">
        <f>IF($C59="","",Cadets!$B54)</f>
        <v/>
      </c>
      <c r="E59" s="29">
        <f>IF($C59="","",Cadets!$H54)</f>
        <v/>
      </c>
      <c r="F59" s="29">
        <f>IF($C59="","",_xlfn.LET(_xlpm.c,IFERROR(INDEX(rngEPcode,MATCH(cfgGradeSheetExam,IFERROR(rngEPseq+0,-1),0)),""),IF(COUNTIFS(nrES_PID,Cadets!$B54,nrES_Code,_xlpm.c,nrES_Att,1)=0,"",SUMIFS(nrES_Raw,nrES_PID,Cadets!$B54,nrES_Code,_xlpm.c,nrES_Att,1))))</f>
        <v/>
      </c>
      <c r="G59" s="29">
        <f>IF($C59="","",_xlfn.LET(_xlpm.c,IFERROR(INDEX(rngEPcode,MATCH(cfgGradeSheetExam,IFERROR(rngEPseq+0,-1),0)),""),IF(COUNTIFS(nrES_PID,Cadets!$B54,nrES_Code,_xlpm.c,nrES_Final,"Yes",nrES_Rec,"&lt;&gt;")=0,"",SUMIFS(nrES_Rec,nrES_PID,Cadets!$B54,nrES_Code,_xlpm.c,nrES_Final,"Yes"))))</f>
        <v/>
      </c>
      <c r="H59" s="29">
        <f>IF(OR($C59="",$G59=""),"",IF($G59&gt;=cfgPassingScore,"Pass","FAIL"))</f>
        <v/>
      </c>
      <c r="I59" s="29">
        <f>IF($C59="","",_xlfn.LET(_xlpm.c,IFERROR(INDEX(rngEPcode,MATCH(cfgGradeSheetExam,IFERROR(rngEPseq+0,-1),0)),""),IF(COUNTIFS(nrES_PID,Cadets!$B54,nrES_Code,_xlpm.c,nrES_Att,2)&gt;0,"Retested","")))</f>
        <v/>
      </c>
    </row>
    <row r="60">
      <c r="B60" s="29">
        <f>IF(Cadets!$B55="","",ROW()-10)</f>
        <v/>
      </c>
      <c r="C60" s="28">
        <f>IF(Cadets!$B55="","",Cadets!$F55)</f>
        <v/>
      </c>
      <c r="D60" s="29">
        <f>IF($C60="","",Cadets!$B55)</f>
        <v/>
      </c>
      <c r="E60" s="29">
        <f>IF($C60="","",Cadets!$H55)</f>
        <v/>
      </c>
      <c r="F60" s="29">
        <f>IF($C60="","",_xlfn.LET(_xlpm.c,IFERROR(INDEX(rngEPcode,MATCH(cfgGradeSheetExam,IFERROR(rngEPseq+0,-1),0)),""),IF(COUNTIFS(nrES_PID,Cadets!$B55,nrES_Code,_xlpm.c,nrES_Att,1)=0,"",SUMIFS(nrES_Raw,nrES_PID,Cadets!$B55,nrES_Code,_xlpm.c,nrES_Att,1))))</f>
        <v/>
      </c>
      <c r="G60" s="29">
        <f>IF($C60="","",_xlfn.LET(_xlpm.c,IFERROR(INDEX(rngEPcode,MATCH(cfgGradeSheetExam,IFERROR(rngEPseq+0,-1),0)),""),IF(COUNTIFS(nrES_PID,Cadets!$B55,nrES_Code,_xlpm.c,nrES_Final,"Yes",nrES_Rec,"&lt;&gt;")=0,"",SUMIFS(nrES_Rec,nrES_PID,Cadets!$B55,nrES_Code,_xlpm.c,nrES_Final,"Yes"))))</f>
        <v/>
      </c>
      <c r="H60" s="29">
        <f>IF(OR($C60="",$G60=""),"",IF($G60&gt;=cfgPassingScore,"Pass","FAIL"))</f>
        <v/>
      </c>
      <c r="I60" s="29">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Enter the date, print, collect signatures — this is the daily paper attendance record for the TCOLE file. Exceptions still go on the Attendance log.</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9"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9" t="inlineStr">
        <is>
          <t>Cadet sign-in</t>
        </is>
      </c>
      <c r="C19" s="8" t="n"/>
      <c r="D19" s="8" t="n"/>
      <c r="E19" s="8" t="n"/>
      <c r="F19" s="8" t="n"/>
      <c r="G19" s="8" t="n"/>
      <c r="H19" s="8" t="n"/>
      <c r="I19" s="8" t="n"/>
    </row>
    <row r="20" ht="26" customHeight="1">
      <c r="B20" s="12" t="inlineStr">
        <is>
          <t>#</t>
        </is>
      </c>
      <c r="C20" s="12" t="inlineStr">
        <is>
          <t>Cadet</t>
        </is>
      </c>
      <c r="D20" s="12" t="inlineStr">
        <is>
          <t>PID</t>
        </is>
      </c>
      <c r="E20" s="12" t="inlineStr">
        <is>
          <t>Agency</t>
        </is>
      </c>
      <c r="F20" s="12" t="inlineStr">
        <is>
          <t>AM Signature</t>
        </is>
      </c>
      <c r="G20" s="12" t="inlineStr">
        <is>
          <t>PM Signature</t>
        </is>
      </c>
      <c r="H20" s="12" t="inlineStr">
        <is>
          <t>Remarks</t>
        </is>
      </c>
    </row>
    <row r="21" ht="20" customHeight="1">
      <c r="B21" s="29">
        <f>IF(Cadets!$B6="","",ROW()-20)</f>
        <v/>
      </c>
      <c r="C21" s="28">
        <f>IF(Cadets!$B6="","",IF(Cadets!$I6&lt;&gt;"Active","",Cadets!$F6))</f>
        <v/>
      </c>
      <c r="D21" s="28">
        <f>IF(C21="","",Cadets!$B6)</f>
        <v/>
      </c>
      <c r="E21" s="28">
        <f>IF(C21="","",Cadets!$H6)</f>
        <v/>
      </c>
      <c r="F21" s="32" t="n"/>
      <c r="G21" s="32" t="n"/>
      <c r="H21" s="32" t="n"/>
    </row>
    <row r="22" ht="20" customHeight="1">
      <c r="B22" s="29">
        <f>IF(Cadets!$B7="","",ROW()-20)</f>
        <v/>
      </c>
      <c r="C22" s="28">
        <f>IF(Cadets!$B7="","",IF(Cadets!$I7&lt;&gt;"Active","",Cadets!$F7))</f>
        <v/>
      </c>
      <c r="D22" s="28">
        <f>IF(C22="","",Cadets!$B7)</f>
        <v/>
      </c>
      <c r="E22" s="28">
        <f>IF(C22="","",Cadets!$H7)</f>
        <v/>
      </c>
      <c r="F22" s="32" t="n"/>
      <c r="G22" s="32" t="n"/>
      <c r="H22" s="32" t="n"/>
    </row>
    <row r="23" ht="20" customHeight="1">
      <c r="B23" s="29">
        <f>IF(Cadets!$B8="","",ROW()-20)</f>
        <v/>
      </c>
      <c r="C23" s="28">
        <f>IF(Cadets!$B8="","",IF(Cadets!$I8&lt;&gt;"Active","",Cadets!$F8))</f>
        <v/>
      </c>
      <c r="D23" s="28">
        <f>IF(C23="","",Cadets!$B8)</f>
        <v/>
      </c>
      <c r="E23" s="28">
        <f>IF(C23="","",Cadets!$H8)</f>
        <v/>
      </c>
      <c r="F23" s="32" t="n"/>
      <c r="G23" s="32" t="n"/>
      <c r="H23" s="32" t="n"/>
    </row>
    <row r="24" ht="20" customHeight="1">
      <c r="B24" s="29">
        <f>IF(Cadets!$B9="","",ROW()-20)</f>
        <v/>
      </c>
      <c r="C24" s="28">
        <f>IF(Cadets!$B9="","",IF(Cadets!$I9&lt;&gt;"Active","",Cadets!$F9))</f>
        <v/>
      </c>
      <c r="D24" s="28">
        <f>IF(C24="","",Cadets!$B9)</f>
        <v/>
      </c>
      <c r="E24" s="28">
        <f>IF(C24="","",Cadets!$H9)</f>
        <v/>
      </c>
      <c r="F24" s="32" t="n"/>
      <c r="G24" s="32" t="n"/>
      <c r="H24" s="32" t="n"/>
    </row>
    <row r="25" ht="20" customHeight="1">
      <c r="B25" s="29">
        <f>IF(Cadets!$B10="","",ROW()-20)</f>
        <v/>
      </c>
      <c r="C25" s="28">
        <f>IF(Cadets!$B10="","",IF(Cadets!$I10&lt;&gt;"Active","",Cadets!$F10))</f>
        <v/>
      </c>
      <c r="D25" s="28">
        <f>IF(C25="","",Cadets!$B10)</f>
        <v/>
      </c>
      <c r="E25" s="28">
        <f>IF(C25="","",Cadets!$H10)</f>
        <v/>
      </c>
      <c r="F25" s="32" t="n"/>
      <c r="G25" s="32" t="n"/>
      <c r="H25" s="32" t="n"/>
    </row>
    <row r="26" ht="20" customHeight="1">
      <c r="B26" s="29">
        <f>IF(Cadets!$B11="","",ROW()-20)</f>
        <v/>
      </c>
      <c r="C26" s="28">
        <f>IF(Cadets!$B11="","",IF(Cadets!$I11&lt;&gt;"Active","",Cadets!$F11))</f>
        <v/>
      </c>
      <c r="D26" s="28">
        <f>IF(C26="","",Cadets!$B11)</f>
        <v/>
      </c>
      <c r="E26" s="28">
        <f>IF(C26="","",Cadets!$H11)</f>
        <v/>
      </c>
      <c r="F26" s="32" t="n"/>
      <c r="G26" s="32" t="n"/>
      <c r="H26" s="32" t="n"/>
    </row>
    <row r="27" ht="20" customHeight="1">
      <c r="B27" s="29">
        <f>IF(Cadets!$B12="","",ROW()-20)</f>
        <v/>
      </c>
      <c r="C27" s="28">
        <f>IF(Cadets!$B12="","",IF(Cadets!$I12&lt;&gt;"Active","",Cadets!$F12))</f>
        <v/>
      </c>
      <c r="D27" s="28">
        <f>IF(C27="","",Cadets!$B12)</f>
        <v/>
      </c>
      <c r="E27" s="28">
        <f>IF(C27="","",Cadets!$H12)</f>
        <v/>
      </c>
      <c r="F27" s="32" t="n"/>
      <c r="G27" s="32" t="n"/>
      <c r="H27" s="32" t="n"/>
    </row>
    <row r="28" ht="20" customHeight="1">
      <c r="B28" s="29">
        <f>IF(Cadets!$B13="","",ROW()-20)</f>
        <v/>
      </c>
      <c r="C28" s="28">
        <f>IF(Cadets!$B13="","",IF(Cadets!$I13&lt;&gt;"Active","",Cadets!$F13))</f>
        <v/>
      </c>
      <c r="D28" s="28">
        <f>IF(C28="","",Cadets!$B13)</f>
        <v/>
      </c>
      <c r="E28" s="28">
        <f>IF(C28="","",Cadets!$H13)</f>
        <v/>
      </c>
      <c r="F28" s="32" t="n"/>
      <c r="G28" s="32" t="n"/>
      <c r="H28" s="32" t="n"/>
    </row>
    <row r="29" ht="20" customHeight="1">
      <c r="B29" s="29">
        <f>IF(Cadets!$B14="","",ROW()-20)</f>
        <v/>
      </c>
      <c r="C29" s="28">
        <f>IF(Cadets!$B14="","",IF(Cadets!$I14&lt;&gt;"Active","",Cadets!$F14))</f>
        <v/>
      </c>
      <c r="D29" s="28">
        <f>IF(C29="","",Cadets!$B14)</f>
        <v/>
      </c>
      <c r="E29" s="28">
        <f>IF(C29="","",Cadets!$H14)</f>
        <v/>
      </c>
      <c r="F29" s="32" t="n"/>
      <c r="G29" s="32" t="n"/>
      <c r="H29" s="32" t="n"/>
    </row>
    <row r="30" ht="20" customHeight="1">
      <c r="B30" s="29">
        <f>IF(Cadets!$B15="","",ROW()-20)</f>
        <v/>
      </c>
      <c r="C30" s="28">
        <f>IF(Cadets!$B15="","",IF(Cadets!$I15&lt;&gt;"Active","",Cadets!$F15))</f>
        <v/>
      </c>
      <c r="D30" s="28">
        <f>IF(C30="","",Cadets!$B15)</f>
        <v/>
      </c>
      <c r="E30" s="28">
        <f>IF(C30="","",Cadets!$H15)</f>
        <v/>
      </c>
      <c r="F30" s="32" t="n"/>
      <c r="G30" s="32" t="n"/>
      <c r="H30" s="32" t="n"/>
    </row>
    <row r="31" ht="20" customHeight="1">
      <c r="B31" s="29">
        <f>IF(Cadets!$B16="","",ROW()-20)</f>
        <v/>
      </c>
      <c r="C31" s="28">
        <f>IF(Cadets!$B16="","",IF(Cadets!$I16&lt;&gt;"Active","",Cadets!$F16))</f>
        <v/>
      </c>
      <c r="D31" s="28">
        <f>IF(C31="","",Cadets!$B16)</f>
        <v/>
      </c>
      <c r="E31" s="28">
        <f>IF(C31="","",Cadets!$H16)</f>
        <v/>
      </c>
      <c r="F31" s="32" t="n"/>
      <c r="G31" s="32" t="n"/>
      <c r="H31" s="32" t="n"/>
    </row>
    <row r="32" ht="20" customHeight="1">
      <c r="B32" s="29">
        <f>IF(Cadets!$B17="","",ROW()-20)</f>
        <v/>
      </c>
      <c r="C32" s="28">
        <f>IF(Cadets!$B17="","",IF(Cadets!$I17&lt;&gt;"Active","",Cadets!$F17))</f>
        <v/>
      </c>
      <c r="D32" s="28">
        <f>IF(C32="","",Cadets!$B17)</f>
        <v/>
      </c>
      <c r="E32" s="28">
        <f>IF(C32="","",Cadets!$H17)</f>
        <v/>
      </c>
      <c r="F32" s="32" t="n"/>
      <c r="G32" s="32" t="n"/>
      <c r="H32" s="32" t="n"/>
    </row>
    <row r="33" ht="20" customHeight="1">
      <c r="B33" s="29">
        <f>IF(Cadets!$B18="","",ROW()-20)</f>
        <v/>
      </c>
      <c r="C33" s="28">
        <f>IF(Cadets!$B18="","",IF(Cadets!$I18&lt;&gt;"Active","",Cadets!$F18))</f>
        <v/>
      </c>
      <c r="D33" s="28">
        <f>IF(C33="","",Cadets!$B18)</f>
        <v/>
      </c>
      <c r="E33" s="28">
        <f>IF(C33="","",Cadets!$H18)</f>
        <v/>
      </c>
      <c r="F33" s="32" t="n"/>
      <c r="G33" s="32" t="n"/>
      <c r="H33" s="32" t="n"/>
    </row>
    <row r="34" ht="20" customHeight="1">
      <c r="B34" s="29">
        <f>IF(Cadets!$B19="","",ROW()-20)</f>
        <v/>
      </c>
      <c r="C34" s="28">
        <f>IF(Cadets!$B19="","",IF(Cadets!$I19&lt;&gt;"Active","",Cadets!$F19))</f>
        <v/>
      </c>
      <c r="D34" s="28">
        <f>IF(C34="","",Cadets!$B19)</f>
        <v/>
      </c>
      <c r="E34" s="28">
        <f>IF(C34="","",Cadets!$H19)</f>
        <v/>
      </c>
      <c r="F34" s="32" t="n"/>
      <c r="G34" s="32" t="n"/>
      <c r="H34" s="32" t="n"/>
    </row>
    <row r="35" ht="20" customHeight="1">
      <c r="B35" s="29">
        <f>IF(Cadets!$B20="","",ROW()-20)</f>
        <v/>
      </c>
      <c r="C35" s="28">
        <f>IF(Cadets!$B20="","",IF(Cadets!$I20&lt;&gt;"Active","",Cadets!$F20))</f>
        <v/>
      </c>
      <c r="D35" s="28">
        <f>IF(C35="","",Cadets!$B20)</f>
        <v/>
      </c>
      <c r="E35" s="28">
        <f>IF(C35="","",Cadets!$H20)</f>
        <v/>
      </c>
      <c r="F35" s="32" t="n"/>
      <c r="G35" s="32" t="n"/>
      <c r="H35" s="32" t="n"/>
    </row>
    <row r="36" ht="20" customHeight="1">
      <c r="B36" s="29">
        <f>IF(Cadets!$B21="","",ROW()-20)</f>
        <v/>
      </c>
      <c r="C36" s="28">
        <f>IF(Cadets!$B21="","",IF(Cadets!$I21&lt;&gt;"Active","",Cadets!$F21))</f>
        <v/>
      </c>
      <c r="D36" s="28">
        <f>IF(C36="","",Cadets!$B21)</f>
        <v/>
      </c>
      <c r="E36" s="28">
        <f>IF(C36="","",Cadets!$H21)</f>
        <v/>
      </c>
      <c r="F36" s="32" t="n"/>
      <c r="G36" s="32" t="n"/>
      <c r="H36" s="32" t="n"/>
    </row>
    <row r="37" ht="20" customHeight="1">
      <c r="B37" s="29">
        <f>IF(Cadets!$B22="","",ROW()-20)</f>
        <v/>
      </c>
      <c r="C37" s="28">
        <f>IF(Cadets!$B22="","",IF(Cadets!$I22&lt;&gt;"Active","",Cadets!$F22))</f>
        <v/>
      </c>
      <c r="D37" s="28">
        <f>IF(C37="","",Cadets!$B22)</f>
        <v/>
      </c>
      <c r="E37" s="28">
        <f>IF(C37="","",Cadets!$H22)</f>
        <v/>
      </c>
      <c r="F37" s="32" t="n"/>
      <c r="G37" s="32" t="n"/>
      <c r="H37" s="32" t="n"/>
    </row>
    <row r="38" ht="20" customHeight="1">
      <c r="B38" s="29">
        <f>IF(Cadets!$B23="","",ROW()-20)</f>
        <v/>
      </c>
      <c r="C38" s="28">
        <f>IF(Cadets!$B23="","",IF(Cadets!$I23&lt;&gt;"Active","",Cadets!$F23))</f>
        <v/>
      </c>
      <c r="D38" s="28">
        <f>IF(C38="","",Cadets!$B23)</f>
        <v/>
      </c>
      <c r="E38" s="28">
        <f>IF(C38="","",Cadets!$H23)</f>
        <v/>
      </c>
      <c r="F38" s="32" t="n"/>
      <c r="G38" s="32" t="n"/>
      <c r="H38" s="32" t="n"/>
    </row>
    <row r="39" ht="20" customHeight="1">
      <c r="B39" s="29">
        <f>IF(Cadets!$B24="","",ROW()-20)</f>
        <v/>
      </c>
      <c r="C39" s="28">
        <f>IF(Cadets!$B24="","",IF(Cadets!$I24&lt;&gt;"Active","",Cadets!$F24))</f>
        <v/>
      </c>
      <c r="D39" s="28">
        <f>IF(C39="","",Cadets!$B24)</f>
        <v/>
      </c>
      <c r="E39" s="28">
        <f>IF(C39="","",Cadets!$H24)</f>
        <v/>
      </c>
      <c r="F39" s="32" t="n"/>
      <c r="G39" s="32" t="n"/>
      <c r="H39" s="32" t="n"/>
    </row>
    <row r="40" ht="20" customHeight="1">
      <c r="B40" s="29">
        <f>IF(Cadets!$B25="","",ROW()-20)</f>
        <v/>
      </c>
      <c r="C40" s="28">
        <f>IF(Cadets!$B25="","",IF(Cadets!$I25&lt;&gt;"Active","",Cadets!$F25))</f>
        <v/>
      </c>
      <c r="D40" s="28">
        <f>IF(C40="","",Cadets!$B25)</f>
        <v/>
      </c>
      <c r="E40" s="28">
        <f>IF(C40="","",Cadets!$H25)</f>
        <v/>
      </c>
      <c r="F40" s="32" t="n"/>
      <c r="G40" s="32" t="n"/>
      <c r="H40" s="32" t="n"/>
    </row>
    <row r="41" ht="20" customHeight="1">
      <c r="B41" s="29">
        <f>IF(Cadets!$B26="","",ROW()-20)</f>
        <v/>
      </c>
      <c r="C41" s="28">
        <f>IF(Cadets!$B26="","",IF(Cadets!$I26&lt;&gt;"Active","",Cadets!$F26))</f>
        <v/>
      </c>
      <c r="D41" s="28">
        <f>IF(C41="","",Cadets!$B26)</f>
        <v/>
      </c>
      <c r="E41" s="28">
        <f>IF(C41="","",Cadets!$H26)</f>
        <v/>
      </c>
      <c r="F41" s="32" t="n"/>
      <c r="G41" s="32" t="n"/>
      <c r="H41" s="32" t="n"/>
    </row>
    <row r="42" ht="20" customHeight="1">
      <c r="B42" s="29">
        <f>IF(Cadets!$B27="","",ROW()-20)</f>
        <v/>
      </c>
      <c r="C42" s="28">
        <f>IF(Cadets!$B27="","",IF(Cadets!$I27&lt;&gt;"Active","",Cadets!$F27))</f>
        <v/>
      </c>
      <c r="D42" s="28">
        <f>IF(C42="","",Cadets!$B27)</f>
        <v/>
      </c>
      <c r="E42" s="28">
        <f>IF(C42="","",Cadets!$H27)</f>
        <v/>
      </c>
      <c r="F42" s="32" t="n"/>
      <c r="G42" s="32" t="n"/>
      <c r="H42" s="32" t="n"/>
    </row>
    <row r="43" ht="20" customHeight="1">
      <c r="B43" s="29">
        <f>IF(Cadets!$B28="","",ROW()-20)</f>
        <v/>
      </c>
      <c r="C43" s="28">
        <f>IF(Cadets!$B28="","",IF(Cadets!$I28&lt;&gt;"Active","",Cadets!$F28))</f>
        <v/>
      </c>
      <c r="D43" s="28">
        <f>IF(C43="","",Cadets!$B28)</f>
        <v/>
      </c>
      <c r="E43" s="28">
        <f>IF(C43="","",Cadets!$H28)</f>
        <v/>
      </c>
      <c r="F43" s="32" t="n"/>
      <c r="G43" s="32" t="n"/>
      <c r="H43" s="32" t="n"/>
    </row>
    <row r="44" ht="20" customHeight="1">
      <c r="B44" s="29">
        <f>IF(Cadets!$B29="","",ROW()-20)</f>
        <v/>
      </c>
      <c r="C44" s="28">
        <f>IF(Cadets!$B29="","",IF(Cadets!$I29&lt;&gt;"Active","",Cadets!$F29))</f>
        <v/>
      </c>
      <c r="D44" s="28">
        <f>IF(C44="","",Cadets!$B29)</f>
        <v/>
      </c>
      <c r="E44" s="28">
        <f>IF(C44="","",Cadets!$H29)</f>
        <v/>
      </c>
      <c r="F44" s="32" t="n"/>
      <c r="G44" s="32" t="n"/>
      <c r="H44" s="32" t="n"/>
    </row>
    <row r="45" ht="20" customHeight="1">
      <c r="B45" s="29">
        <f>IF(Cadets!$B30="","",ROW()-20)</f>
        <v/>
      </c>
      <c r="C45" s="28">
        <f>IF(Cadets!$B30="","",IF(Cadets!$I30&lt;&gt;"Active","",Cadets!$F30))</f>
        <v/>
      </c>
      <c r="D45" s="28">
        <f>IF(C45="","",Cadets!$B30)</f>
        <v/>
      </c>
      <c r="E45" s="28">
        <f>IF(C45="","",Cadets!$H30)</f>
        <v/>
      </c>
      <c r="F45" s="32" t="n"/>
      <c r="G45" s="32" t="n"/>
      <c r="H45" s="32" t="n"/>
    </row>
    <row r="46" ht="20" customHeight="1">
      <c r="B46" s="29">
        <f>IF(Cadets!$B31="","",ROW()-20)</f>
        <v/>
      </c>
      <c r="C46" s="28">
        <f>IF(Cadets!$B31="","",IF(Cadets!$I31&lt;&gt;"Active","",Cadets!$F31))</f>
        <v/>
      </c>
      <c r="D46" s="28">
        <f>IF(C46="","",Cadets!$B31)</f>
        <v/>
      </c>
      <c r="E46" s="28">
        <f>IF(C46="","",Cadets!$H31)</f>
        <v/>
      </c>
      <c r="F46" s="32" t="n"/>
      <c r="G46" s="32" t="n"/>
      <c r="H46" s="32" t="n"/>
    </row>
    <row r="47" ht="20" customHeight="1">
      <c r="B47" s="29">
        <f>IF(Cadets!$B32="","",ROW()-20)</f>
        <v/>
      </c>
      <c r="C47" s="28">
        <f>IF(Cadets!$B32="","",IF(Cadets!$I32&lt;&gt;"Active","",Cadets!$F32))</f>
        <v/>
      </c>
      <c r="D47" s="28">
        <f>IF(C47="","",Cadets!$B32)</f>
        <v/>
      </c>
      <c r="E47" s="28">
        <f>IF(C47="","",Cadets!$H32)</f>
        <v/>
      </c>
      <c r="F47" s="32" t="n"/>
      <c r="G47" s="32" t="n"/>
      <c r="H47" s="32" t="n"/>
    </row>
    <row r="48" ht="20" customHeight="1">
      <c r="B48" s="29">
        <f>IF(Cadets!$B33="","",ROW()-20)</f>
        <v/>
      </c>
      <c r="C48" s="28">
        <f>IF(Cadets!$B33="","",IF(Cadets!$I33&lt;&gt;"Active","",Cadets!$F33))</f>
        <v/>
      </c>
      <c r="D48" s="28">
        <f>IF(C48="","",Cadets!$B33)</f>
        <v/>
      </c>
      <c r="E48" s="28">
        <f>IF(C48="","",Cadets!$H33)</f>
        <v/>
      </c>
      <c r="F48" s="32" t="n"/>
      <c r="G48" s="32" t="n"/>
      <c r="H48" s="32" t="n"/>
    </row>
    <row r="49" ht="20" customHeight="1">
      <c r="B49" s="29">
        <f>IF(Cadets!$B34="","",ROW()-20)</f>
        <v/>
      </c>
      <c r="C49" s="28">
        <f>IF(Cadets!$B34="","",IF(Cadets!$I34&lt;&gt;"Active","",Cadets!$F34))</f>
        <v/>
      </c>
      <c r="D49" s="28">
        <f>IF(C49="","",Cadets!$B34)</f>
        <v/>
      </c>
      <c r="E49" s="28">
        <f>IF(C49="","",Cadets!$H34)</f>
        <v/>
      </c>
      <c r="F49" s="32" t="n"/>
      <c r="G49" s="32" t="n"/>
      <c r="H49" s="32" t="n"/>
    </row>
    <row r="50" ht="20" customHeight="1">
      <c r="B50" s="29">
        <f>IF(Cadets!$B35="","",ROW()-20)</f>
        <v/>
      </c>
      <c r="C50" s="28">
        <f>IF(Cadets!$B35="","",IF(Cadets!$I35&lt;&gt;"Active","",Cadets!$F35))</f>
        <v/>
      </c>
      <c r="D50" s="28">
        <f>IF(C50="","",Cadets!$B35)</f>
        <v/>
      </c>
      <c r="E50" s="28">
        <f>IF(C50="","",Cadets!$H35)</f>
        <v/>
      </c>
      <c r="F50" s="32" t="n"/>
      <c r="G50" s="32" t="n"/>
      <c r="H50" s="32" t="n"/>
    </row>
    <row r="51" ht="20" customHeight="1">
      <c r="B51" s="29">
        <f>IF(Cadets!$B36="","",ROW()-20)</f>
        <v/>
      </c>
      <c r="C51" s="28">
        <f>IF(Cadets!$B36="","",IF(Cadets!$I36&lt;&gt;"Active","",Cadets!$F36))</f>
        <v/>
      </c>
      <c r="D51" s="28">
        <f>IF(C51="","",Cadets!$B36)</f>
        <v/>
      </c>
      <c r="E51" s="28">
        <f>IF(C51="","",Cadets!$H36)</f>
        <v/>
      </c>
      <c r="F51" s="32" t="n"/>
      <c r="G51" s="32" t="n"/>
      <c r="H51" s="32" t="n"/>
    </row>
    <row r="52" ht="20" customHeight="1">
      <c r="B52" s="29">
        <f>IF(Cadets!$B37="","",ROW()-20)</f>
        <v/>
      </c>
      <c r="C52" s="28">
        <f>IF(Cadets!$B37="","",IF(Cadets!$I37&lt;&gt;"Active","",Cadets!$F37))</f>
        <v/>
      </c>
      <c r="D52" s="28">
        <f>IF(C52="","",Cadets!$B37)</f>
        <v/>
      </c>
      <c r="E52" s="28">
        <f>IF(C52="","",Cadets!$H37)</f>
        <v/>
      </c>
      <c r="F52" s="32" t="n"/>
      <c r="G52" s="32" t="n"/>
      <c r="H52" s="32" t="n"/>
    </row>
    <row r="53" ht="20" customHeight="1">
      <c r="B53" s="29">
        <f>IF(Cadets!$B38="","",ROW()-20)</f>
        <v/>
      </c>
      <c r="C53" s="28">
        <f>IF(Cadets!$B38="","",IF(Cadets!$I38&lt;&gt;"Active","",Cadets!$F38))</f>
        <v/>
      </c>
      <c r="D53" s="28">
        <f>IF(C53="","",Cadets!$B38)</f>
        <v/>
      </c>
      <c r="E53" s="28">
        <f>IF(C53="","",Cadets!$H38)</f>
        <v/>
      </c>
      <c r="F53" s="32" t="n"/>
      <c r="G53" s="32" t="n"/>
      <c r="H53" s="32" t="n"/>
    </row>
    <row r="54" ht="20" customHeight="1">
      <c r="B54" s="29">
        <f>IF(Cadets!$B39="","",ROW()-20)</f>
        <v/>
      </c>
      <c r="C54" s="28">
        <f>IF(Cadets!$B39="","",IF(Cadets!$I39&lt;&gt;"Active","",Cadets!$F39))</f>
        <v/>
      </c>
      <c r="D54" s="28">
        <f>IF(C54="","",Cadets!$B39)</f>
        <v/>
      </c>
      <c r="E54" s="28">
        <f>IF(C54="","",Cadets!$H39)</f>
        <v/>
      </c>
      <c r="F54" s="32" t="n"/>
      <c r="G54" s="32" t="n"/>
      <c r="H54" s="32" t="n"/>
    </row>
    <row r="55" ht="20" customHeight="1">
      <c r="B55" s="29">
        <f>IF(Cadets!$B40="","",ROW()-20)</f>
        <v/>
      </c>
      <c r="C55" s="28">
        <f>IF(Cadets!$B40="","",IF(Cadets!$I40&lt;&gt;"Active","",Cadets!$F40))</f>
        <v/>
      </c>
      <c r="D55" s="28">
        <f>IF(C55="","",Cadets!$B40)</f>
        <v/>
      </c>
      <c r="E55" s="28">
        <f>IF(C55="","",Cadets!$H40)</f>
        <v/>
      </c>
      <c r="F55" s="32" t="n"/>
      <c r="G55" s="32" t="n"/>
      <c r="H55" s="32" t="n"/>
    </row>
    <row r="56" ht="20" customHeight="1">
      <c r="B56" s="29">
        <f>IF(Cadets!$B41="","",ROW()-20)</f>
        <v/>
      </c>
      <c r="C56" s="28">
        <f>IF(Cadets!$B41="","",IF(Cadets!$I41&lt;&gt;"Active","",Cadets!$F41))</f>
        <v/>
      </c>
      <c r="D56" s="28">
        <f>IF(C56="","",Cadets!$B41)</f>
        <v/>
      </c>
      <c r="E56" s="28">
        <f>IF(C56="","",Cadets!$H41)</f>
        <v/>
      </c>
      <c r="F56" s="32" t="n"/>
      <c r="G56" s="32" t="n"/>
      <c r="H56" s="32" t="n"/>
    </row>
    <row r="57" ht="20" customHeight="1">
      <c r="B57" s="29">
        <f>IF(Cadets!$B42="","",ROW()-20)</f>
        <v/>
      </c>
      <c r="C57" s="28">
        <f>IF(Cadets!$B42="","",IF(Cadets!$I42&lt;&gt;"Active","",Cadets!$F42))</f>
        <v/>
      </c>
      <c r="D57" s="28">
        <f>IF(C57="","",Cadets!$B42)</f>
        <v/>
      </c>
      <c r="E57" s="28">
        <f>IF(C57="","",Cadets!$H42)</f>
        <v/>
      </c>
      <c r="F57" s="32" t="n"/>
      <c r="G57" s="32" t="n"/>
      <c r="H57" s="32" t="n"/>
    </row>
    <row r="58" ht="20" customHeight="1">
      <c r="B58" s="29">
        <f>IF(Cadets!$B43="","",ROW()-20)</f>
        <v/>
      </c>
      <c r="C58" s="28">
        <f>IF(Cadets!$B43="","",IF(Cadets!$I43&lt;&gt;"Active","",Cadets!$F43))</f>
        <v/>
      </c>
      <c r="D58" s="28">
        <f>IF(C58="","",Cadets!$B43)</f>
        <v/>
      </c>
      <c r="E58" s="28">
        <f>IF(C58="","",Cadets!$H43)</f>
        <v/>
      </c>
      <c r="F58" s="32" t="n"/>
      <c r="G58" s="32" t="n"/>
      <c r="H58" s="32" t="n"/>
    </row>
    <row r="59" ht="20" customHeight="1">
      <c r="B59" s="29">
        <f>IF(Cadets!$B44="","",ROW()-20)</f>
        <v/>
      </c>
      <c r="C59" s="28">
        <f>IF(Cadets!$B44="","",IF(Cadets!$I44&lt;&gt;"Active","",Cadets!$F44))</f>
        <v/>
      </c>
      <c r="D59" s="28">
        <f>IF(C59="","",Cadets!$B44)</f>
        <v/>
      </c>
      <c r="E59" s="28">
        <f>IF(C59="","",Cadets!$H44)</f>
        <v/>
      </c>
      <c r="F59" s="32" t="n"/>
      <c r="G59" s="32" t="n"/>
      <c r="H59" s="32" t="n"/>
    </row>
    <row r="60" ht="20" customHeight="1">
      <c r="B60" s="29">
        <f>IF(Cadets!$B45="","",ROW()-20)</f>
        <v/>
      </c>
      <c r="C60" s="28">
        <f>IF(Cadets!$B45="","",IF(Cadets!$I45&lt;&gt;"Active","",Cadets!$F45))</f>
        <v/>
      </c>
      <c r="D60" s="28">
        <f>IF(C60="","",Cadets!$B45)</f>
        <v/>
      </c>
      <c r="E60" s="28">
        <f>IF(C60="","",Cadets!$H45)</f>
        <v/>
      </c>
      <c r="F60" s="32" t="n"/>
      <c r="G60" s="32" t="n"/>
      <c r="H60" s="32" t="n"/>
    </row>
    <row r="61" ht="20" customHeight="1">
      <c r="B61" s="29">
        <f>IF(Cadets!$B46="","",ROW()-20)</f>
        <v/>
      </c>
      <c r="C61" s="28">
        <f>IF(Cadets!$B46="","",IF(Cadets!$I46&lt;&gt;"Active","",Cadets!$F46))</f>
        <v/>
      </c>
      <c r="D61" s="28">
        <f>IF(C61="","",Cadets!$B46)</f>
        <v/>
      </c>
      <c r="E61" s="28">
        <f>IF(C61="","",Cadets!$H46)</f>
        <v/>
      </c>
      <c r="F61" s="32" t="n"/>
      <c r="G61" s="32" t="n"/>
      <c r="H61" s="32" t="n"/>
    </row>
    <row r="62" ht="20" customHeight="1">
      <c r="B62" s="29">
        <f>IF(Cadets!$B47="","",ROW()-20)</f>
        <v/>
      </c>
      <c r="C62" s="28">
        <f>IF(Cadets!$B47="","",IF(Cadets!$I47&lt;&gt;"Active","",Cadets!$F47))</f>
        <v/>
      </c>
      <c r="D62" s="28">
        <f>IF(C62="","",Cadets!$B47)</f>
        <v/>
      </c>
      <c r="E62" s="28">
        <f>IF(C62="","",Cadets!$H47)</f>
        <v/>
      </c>
      <c r="F62" s="32" t="n"/>
      <c r="G62" s="32" t="n"/>
      <c r="H62" s="32" t="n"/>
    </row>
    <row r="63" ht="20" customHeight="1">
      <c r="B63" s="29">
        <f>IF(Cadets!$B48="","",ROW()-20)</f>
        <v/>
      </c>
      <c r="C63" s="28">
        <f>IF(Cadets!$B48="","",IF(Cadets!$I48&lt;&gt;"Active","",Cadets!$F48))</f>
        <v/>
      </c>
      <c r="D63" s="28">
        <f>IF(C63="","",Cadets!$B48)</f>
        <v/>
      </c>
      <c r="E63" s="28">
        <f>IF(C63="","",Cadets!$H48)</f>
        <v/>
      </c>
      <c r="F63" s="32" t="n"/>
      <c r="G63" s="32" t="n"/>
      <c r="H63" s="32" t="n"/>
    </row>
    <row r="64" ht="20" customHeight="1">
      <c r="B64" s="29">
        <f>IF(Cadets!$B49="","",ROW()-20)</f>
        <v/>
      </c>
      <c r="C64" s="28">
        <f>IF(Cadets!$B49="","",IF(Cadets!$I49&lt;&gt;"Active","",Cadets!$F49))</f>
        <v/>
      </c>
      <c r="D64" s="28">
        <f>IF(C64="","",Cadets!$B49)</f>
        <v/>
      </c>
      <c r="E64" s="28">
        <f>IF(C64="","",Cadets!$H49)</f>
        <v/>
      </c>
      <c r="F64" s="32" t="n"/>
      <c r="G64" s="32" t="n"/>
      <c r="H64" s="32" t="n"/>
    </row>
    <row r="65" ht="20" customHeight="1">
      <c r="B65" s="29">
        <f>IF(Cadets!$B50="","",ROW()-20)</f>
        <v/>
      </c>
      <c r="C65" s="28">
        <f>IF(Cadets!$B50="","",IF(Cadets!$I50&lt;&gt;"Active","",Cadets!$F50))</f>
        <v/>
      </c>
      <c r="D65" s="28">
        <f>IF(C65="","",Cadets!$B50)</f>
        <v/>
      </c>
      <c r="E65" s="28">
        <f>IF(C65="","",Cadets!$H50)</f>
        <v/>
      </c>
      <c r="F65" s="32" t="n"/>
      <c r="G65" s="32" t="n"/>
      <c r="H65" s="32" t="n"/>
    </row>
    <row r="66" ht="20" customHeight="1">
      <c r="B66" s="29">
        <f>IF(Cadets!$B51="","",ROW()-20)</f>
        <v/>
      </c>
      <c r="C66" s="28">
        <f>IF(Cadets!$B51="","",IF(Cadets!$I51&lt;&gt;"Active","",Cadets!$F51))</f>
        <v/>
      </c>
      <c r="D66" s="28">
        <f>IF(C66="","",Cadets!$B51)</f>
        <v/>
      </c>
      <c r="E66" s="28">
        <f>IF(C66="","",Cadets!$H51)</f>
        <v/>
      </c>
      <c r="F66" s="32" t="n"/>
      <c r="G66" s="32" t="n"/>
      <c r="H66" s="32" t="n"/>
    </row>
    <row r="67" ht="20" customHeight="1">
      <c r="B67" s="29">
        <f>IF(Cadets!$B52="","",ROW()-20)</f>
        <v/>
      </c>
      <c r="C67" s="28">
        <f>IF(Cadets!$B52="","",IF(Cadets!$I52&lt;&gt;"Active","",Cadets!$F52))</f>
        <v/>
      </c>
      <c r="D67" s="28">
        <f>IF(C67="","",Cadets!$B52)</f>
        <v/>
      </c>
      <c r="E67" s="28">
        <f>IF(C67="","",Cadets!$H52)</f>
        <v/>
      </c>
      <c r="F67" s="32" t="n"/>
      <c r="G67" s="32" t="n"/>
      <c r="H67" s="32" t="n"/>
    </row>
    <row r="68" ht="20" customHeight="1">
      <c r="B68" s="29">
        <f>IF(Cadets!$B53="","",ROW()-20)</f>
        <v/>
      </c>
      <c r="C68" s="28">
        <f>IF(Cadets!$B53="","",IF(Cadets!$I53&lt;&gt;"Active","",Cadets!$F53))</f>
        <v/>
      </c>
      <c r="D68" s="28">
        <f>IF(C68="","",Cadets!$B53)</f>
        <v/>
      </c>
      <c r="E68" s="28">
        <f>IF(C68="","",Cadets!$H53)</f>
        <v/>
      </c>
      <c r="F68" s="32" t="n"/>
      <c r="G68" s="32" t="n"/>
      <c r="H68" s="32" t="n"/>
    </row>
    <row r="69" ht="20" customHeight="1">
      <c r="B69" s="29">
        <f>IF(Cadets!$B54="","",ROW()-20)</f>
        <v/>
      </c>
      <c r="C69" s="28">
        <f>IF(Cadets!$B54="","",IF(Cadets!$I54&lt;&gt;"Active","",Cadets!$F54))</f>
        <v/>
      </c>
      <c r="D69" s="28">
        <f>IF(C69="","",Cadets!$B54)</f>
        <v/>
      </c>
      <c r="E69" s="28">
        <f>IF(C69="","",Cadets!$H54)</f>
        <v/>
      </c>
      <c r="F69" s="32" t="n"/>
      <c r="G69" s="32" t="n"/>
      <c r="H69" s="32" t="n"/>
    </row>
    <row r="70" ht="20" customHeight="1">
      <c r="B70" s="29">
        <f>IF(Cadets!$B55="","",ROW()-20)</f>
        <v/>
      </c>
      <c r="C70" s="28">
        <f>IF(Cadets!$B55="","",IF(Cadets!$I55&lt;&gt;"Active","",Cadets!$F55))</f>
        <v/>
      </c>
      <c r="D70" s="28">
        <f>IF(C70="","",Cadets!$B55)</f>
        <v/>
      </c>
      <c r="E70" s="28">
        <f>IF(C70="","",Cadets!$H55)</f>
        <v/>
      </c>
      <c r="F70" s="32" t="n"/>
      <c r="G70" s="32" t="n"/>
      <c r="H70" s="32" t="n"/>
    </row>
    <row r="71"/>
    <row r="72">
      <c r="B72" s="14"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8" t="n">
        <v>1</v>
      </c>
      <c r="C17" s="33" t="inlineStr">
        <is>
          <t>Were the goals and objectives for the course provided at the beginning of the class?</t>
        </is>
      </c>
      <c r="D17" s="32" t="n"/>
      <c r="E17" s="32" t="n"/>
      <c r="F17" s="32" t="n"/>
      <c r="G17" s="32" t="n"/>
      <c r="H17" s="32" t="n"/>
    </row>
    <row r="18" ht="26" customHeight="1">
      <c r="B18" s="28" t="n">
        <v>2</v>
      </c>
      <c r="C18" s="33" t="inlineStr">
        <is>
          <t>Was the material presented in a logical order?</t>
        </is>
      </c>
      <c r="D18" s="32" t="n"/>
      <c r="E18" s="32" t="n"/>
      <c r="F18" s="32" t="n"/>
      <c r="G18" s="32" t="n"/>
      <c r="H18" s="32" t="n"/>
    </row>
    <row r="19" ht="26" customHeight="1">
      <c r="B19" s="28" t="n">
        <v>3</v>
      </c>
      <c r="C19" s="33" t="inlineStr">
        <is>
          <t>Was the course related to your job needs?</t>
        </is>
      </c>
      <c r="D19" s="32" t="n"/>
      <c r="E19" s="32" t="n"/>
      <c r="F19" s="32" t="n"/>
      <c r="G19" s="32" t="n"/>
      <c r="H19" s="32" t="n"/>
    </row>
    <row r="20" ht="26" customHeight="1">
      <c r="B20" s="28" t="n">
        <v>4</v>
      </c>
      <c r="C20" s="33" t="inlineStr">
        <is>
          <t>Were real-life examples or situations used to relate the material?</t>
        </is>
      </c>
      <c r="D20" s="32" t="n"/>
      <c r="E20" s="32" t="n"/>
      <c r="F20" s="32" t="n"/>
      <c r="G20" s="32" t="n"/>
      <c r="H20" s="32" t="n"/>
    </row>
    <row r="21" ht="26" customHeight="1">
      <c r="B21" s="28" t="n">
        <v>5</v>
      </c>
      <c r="C21" s="33" t="inlineStr">
        <is>
          <t>Will this course improve your job performance?</t>
        </is>
      </c>
      <c r="D21" s="32" t="n"/>
      <c r="E21" s="32" t="n"/>
      <c r="F21" s="32" t="n"/>
      <c r="G21" s="32" t="n"/>
      <c r="H21" s="32" t="n"/>
    </row>
    <row r="22" ht="26" customHeight="1">
      <c r="B22" s="28" t="n">
        <v>6</v>
      </c>
      <c r="C22" s="33" t="inlineStr">
        <is>
          <t>Were the teaching aids, demonstrations, and handout materials of adequate quality?</t>
        </is>
      </c>
      <c r="D22" s="32" t="n"/>
      <c r="E22" s="32" t="n"/>
      <c r="F22" s="32" t="n"/>
      <c r="G22" s="32" t="n"/>
      <c r="H22" s="32" t="n"/>
    </row>
    <row r="23" ht="26" customHeight="1">
      <c r="B23" s="28" t="n">
        <v>7</v>
      </c>
      <c r="C23" s="33" t="inlineStr">
        <is>
          <t>Was the instructor knowledgeable about the course material?</t>
        </is>
      </c>
      <c r="D23" s="32" t="n"/>
      <c r="E23" s="32" t="n"/>
      <c r="F23" s="32" t="n"/>
      <c r="G23" s="32" t="n"/>
      <c r="H23" s="32" t="n"/>
    </row>
    <row r="24" ht="26" customHeight="1">
      <c r="B24" s="28" t="n">
        <v>8</v>
      </c>
      <c r="C24" s="33" t="inlineStr">
        <is>
          <t>Did the instructor present the information in a clear and understandable way?</t>
        </is>
      </c>
      <c r="D24" s="32" t="n"/>
      <c r="E24" s="32" t="n"/>
      <c r="F24" s="32" t="n"/>
      <c r="G24" s="32" t="n"/>
      <c r="H24" s="32" t="n"/>
    </row>
    <row r="25" ht="26" customHeight="1">
      <c r="B25" s="28" t="n">
        <v>9</v>
      </c>
      <c r="C25" s="33" t="inlineStr">
        <is>
          <t>Did the instructor give you an opportunity to interact with the class or ask questions?</t>
        </is>
      </c>
      <c r="D25" s="32" t="n"/>
      <c r="E25" s="32" t="n"/>
      <c r="F25" s="32" t="n"/>
      <c r="G25" s="32" t="n"/>
      <c r="H25" s="32" t="n"/>
    </row>
    <row r="26" ht="26" customHeight="1">
      <c r="B26" s="28" t="n">
        <v>10</v>
      </c>
      <c r="C26" s="33" t="inlineStr">
        <is>
          <t>Did you get satisfactory answers to your questions about the material?</t>
        </is>
      </c>
      <c r="D26" s="32" t="n"/>
      <c r="E26" s="32" t="n"/>
      <c r="F26" s="32" t="n"/>
      <c r="G26" s="32" t="n"/>
      <c r="H26" s="32" t="n"/>
    </row>
    <row r="27" ht="26" customHeight="1">
      <c r="B27" s="28"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3" t="n">
        <v>1</v>
      </c>
      <c r="D5" s="35" t="inlineStr">
        <is>
          <t>Mode:</t>
        </is>
      </c>
      <c r="E5" s="23"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3"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6">
        <f>IFERROR(_xlfn._xlws.FILTER(_xlfn.HSTACK(rngWMnum,rngWMtitle,TEXT(rngWMassigned,"mm/dd"),TEXT(rngWMdue,"mm/dd"),rngWMprompt),IFERROR(_xlfn.XLOOKUP(rngWMassigned,nrCDdate,nrCDweek),0)=cfgHandoutWeek),"—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3"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9"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IF($B9="","",sysFlags!$Q6)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IF($B10="","",sysFlags!$Q7)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IF($B11="","",sysFlags!$Q8)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IF($B12="","",sysFlags!$Q9)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IF($B13="","",sysFlags!$Q10)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IF($B14="","",sysFlags!$Q11)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IF($B15="","",sysFlags!$Q12)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IF($B16="","",sysFlags!$Q13)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IF($B17="","",sysFlags!$Q14)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IF($B18="","",sysFlags!$Q15)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IF($B19="","",sysFlags!$Q16)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IF($B20="","",sysFlags!$Q17)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IF($B21="","",sysFlags!$Q18)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IF($B22="","",sysFlags!$Q19)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IF($B23="","",sysFlags!$Q20)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IF($B24="","",sysFlags!$Q21)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IF($B25="","",sysFlags!$Q22)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IF($B26="","",sysFlags!$Q23)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IF($B27="","",sysFlags!$Q24)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IF($B28="","",sysFlags!$Q25)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IF($B29="","",sysFlags!$Q26)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IF($B30="","",sysFlags!$Q27)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IF($B31="","",sysFlags!$Q28)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IF($B32="","",sysFlags!$Q29)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IF($B33="","",sysFlags!$Q30)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IF($B34="","",sysFlags!$Q31)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IF($B35="","",sysFlags!$Q32)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IF($B36="","",sysFlags!$Q33)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IF($B37="","",sysFlags!$Q34)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IF($B38="","",sysFlags!$Q35)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IF($B39="","",sysFlags!$Q36)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IF($B40="","",sysFlags!$Q37)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IF($B41="","",sysFlags!$Q38)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IF($B42="","",sysFlags!$Q39)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IF($B43="","",sysFlags!$Q40)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IF($B44="","",sysFlags!$Q41)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IF($B45="","",sysFlags!$Q42)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IF($B46="","",sysFlags!$Q43)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IF($B47="","",sysFlags!$Q44)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IF($B48="","",sysFlags!$Q45)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IF($B49="","",sysFlags!$Q46)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IF($B50="","",sysFlags!$Q47)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IF($B51="","",sysFlags!$Q48)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IF($B52="","",sysFlags!$Q49)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IF($B53="","",sysFlags!$Q50)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IF($B54="","",sysFlags!$Q51)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IF($B55="","",sysFlags!$Q52)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IF($B56="","",sysFlags!$Q53)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IF($B57="","",sysFlags!$Q54)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IF($B58="","",sysFlags!$Q55)</f>
        <v/>
      </c>
    </row>
    <row r="59"/>
    <row r="60" ht="16" customHeight="1">
      <c r="B60" s="9" t="inlineStr">
        <is>
          <t>Discipline &amp; counseling since last email to this agency</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4.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7"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Weight: Major</t>
        </is>
      </c>
      <c r="C15" s="38" t="n">
        <v>0.4</v>
      </c>
      <c r="D15" s="2" t="inlineStr">
        <is>
          <t>Major exams weight</t>
        </is>
      </c>
      <c r="E15" s="2" t="inlineStr">
        <is>
          <t>cfgWeightMajor</t>
        </is>
      </c>
    </row>
    <row r="16">
      <c r="B16" s="3" t="inlineStr">
        <is>
          <t>Weight: Minor</t>
        </is>
      </c>
      <c r="C16" s="38" t="n">
        <v>0.3</v>
      </c>
      <c r="D16" s="2" t="inlineStr">
        <is>
          <t>Minor exams weight</t>
        </is>
      </c>
      <c r="E16" s="2" t="inlineStr">
        <is>
          <t>cfgWeightMinor</t>
        </is>
      </c>
    </row>
    <row r="17">
      <c r="B17" s="3" t="inlineStr">
        <is>
          <t>Weight: Spelling</t>
        </is>
      </c>
      <c r="C17" s="38" t="n">
        <v>0.1</v>
      </c>
      <c r="D17" s="2" t="inlineStr">
        <is>
          <t>Spelling weight</t>
        </is>
      </c>
      <c r="E17" s="2" t="inlineStr">
        <is>
          <t>cfgWeightSpelling</t>
        </is>
      </c>
    </row>
    <row r="18">
      <c r="B18" s="3" t="inlineStr">
        <is>
          <t>Weight: Final</t>
        </is>
      </c>
      <c r="C18" s="38" t="n">
        <v>0.2</v>
      </c>
      <c r="D18" s="2" t="inlineStr">
        <is>
          <t>Final exam weight</t>
        </is>
      </c>
      <c r="E18" s="2" t="inlineStr">
        <is>
          <t>cfgWeightFinal</t>
        </is>
      </c>
    </row>
    <row r="19">
      <c r="B19" s="3" t="inlineStr">
        <is>
          <t>Spelling Intervention Avg</t>
        </is>
      </c>
      <c r="C19" s="16" t="n">
        <v>75</v>
      </c>
      <c r="D19" s="2" t="inlineStr">
        <is>
          <t>Below this spelling avg = early intervention (300.4.B)</t>
        </is>
      </c>
      <c r="E19" s="2" t="inlineStr">
        <is>
          <t>cfgSpellInterventionAvg</t>
        </is>
      </c>
    </row>
    <row r="20">
      <c r="B20" s="3" t="inlineStr">
        <is>
          <t>Classroom Cap %</t>
        </is>
      </c>
      <c r="C20" s="39" t="n">
        <v>0.05</v>
      </c>
      <c r="D20" s="2" t="inlineStr">
        <is>
          <t>Attendance cap as % of total minutes</t>
        </is>
      </c>
      <c r="E20" s="2" t="inlineStr">
        <is>
          <t>cfgClassroomCapPct</t>
        </is>
      </c>
    </row>
    <row r="21">
      <c r="B21" s="3" t="inlineStr">
        <is>
          <t>PT Cap (sessions)</t>
        </is>
      </c>
      <c r="C21" s="16" t="n">
        <v>5</v>
      </c>
      <c r="D21" s="2" t="inlineStr">
        <is>
          <t>Max PT sessions missed</t>
        </is>
      </c>
      <c r="E21" s="2" t="inlineStr">
        <is>
          <t>cfgPTCapSessions</t>
        </is>
      </c>
    </row>
    <row r="22">
      <c r="B22" s="3" t="inlineStr">
        <is>
          <t>Attendance Advisory %</t>
        </is>
      </c>
      <c r="C22" s="38" t="n">
        <v>0.6</v>
      </c>
      <c r="D22" s="2" t="inlineStr">
        <is>
          <t>Tier 1 warning at this % of cap</t>
        </is>
      </c>
      <c r="E22" s="2" t="inlineStr">
        <is>
          <t>cfgAttendanceAdvisoryPct</t>
        </is>
      </c>
    </row>
    <row r="23">
      <c r="B23" s="3" t="inlineStr">
        <is>
          <t>Attendance Critical %</t>
        </is>
      </c>
      <c r="C23" s="38" t="n">
        <v>0.8</v>
      </c>
      <c r="D23" s="2" t="inlineStr">
        <is>
          <t>Tier 2 warning at this % of cap</t>
        </is>
      </c>
      <c r="E23" s="2" t="inlineStr">
        <is>
          <t>cfgAttendanceCriticalPct</t>
        </is>
      </c>
    </row>
    <row r="24">
      <c r="B24" s="3" t="inlineStr">
        <is>
          <t>Home Agency (gets all cadets)</t>
        </is>
      </c>
      <c r="C24" s="16" t="inlineStr">
        <is>
          <t>TPD</t>
        </is>
      </c>
      <c r="D24" s="2" t="inlineStr">
        <is>
          <t>Agency code whose email includes every cadet</t>
        </is>
      </c>
      <c r="E24" s="2" t="inlineStr">
        <is>
          <t>cfgHomeAgency</t>
        </is>
      </c>
    </row>
    <row r="25">
      <c r="B25" s="3" t="inlineStr">
        <is>
          <t>Current Exam # (for emails)</t>
        </is>
      </c>
      <c r="C25" s="16" t="n">
        <v>1</v>
      </c>
      <c r="D25" s="2" t="inlineStr">
        <is>
          <t>Sequence # of the exam to email</t>
        </is>
      </c>
      <c r="E25" s="2" t="inlineStr">
        <is>
          <t>cfgCurrentExamNum</t>
        </is>
      </c>
      <c r="F25" s="20">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6" t="n">
        <v>1</v>
      </c>
      <c r="D26" s="2" t="inlineStr">
        <is>
          <t>Highest spelling test # administered</t>
        </is>
      </c>
      <c r="E26" s="2" t="inlineStr">
        <is>
          <t>cfgCurrentSpellingNum</t>
        </is>
      </c>
      <c r="F26" s="20">
        <f>MAX(SUMPRODUCT(MAX((nrSpellTaken&gt;0)*COLUMN(nrSpellTaken)))-COLUMN(Spelling!$D$1)+1,0)</f>
        <v/>
      </c>
      <c r="G26" s="2">
        <f>IF($C$26&lt;cfgCurrentExamNum,"CHECK - spelling will be OMITTED this run",IF($F$26&gt;$C$26,"CHECK - data shows Spelling "&amp;$F$26,"OK"))</f>
        <v/>
      </c>
    </row>
    <row r="27">
      <c r="B27" s="3" t="inlineStr">
        <is>
          <t>Writing Due Time</t>
        </is>
      </c>
      <c r="C27" s="16" t="inlineStr">
        <is>
          <t>1700</t>
        </is>
      </c>
      <c r="D27" s="2" t="inlineStr">
        <is>
          <t>Due time shown on handouts</t>
        </is>
      </c>
      <c r="E27" s="2" t="inlineStr">
        <is>
          <t>cfgWritingDueTime</t>
        </is>
      </c>
    </row>
    <row r="28">
      <c r="B28" s="3" t="inlineStr">
        <is>
          <t>PT Final Min Points</t>
        </is>
      </c>
      <c r="C28" s="16" t="n">
        <v>0</v>
      </c>
      <c r="D28" s="2" t="inlineStr">
        <is>
          <t>Minimum points to pass final PT (set when rubric arrives)</t>
        </is>
      </c>
      <c r="E28" s="2" t="inlineStr">
        <is>
          <t>cfgPTFinalMinPoints</t>
        </is>
      </c>
    </row>
    <row r="29">
      <c r="B29" s="3" t="inlineStr">
        <is>
          <t>Flag: consecutive exam fails</t>
        </is>
      </c>
      <c r="C29" s="16" t="n">
        <v>2</v>
      </c>
      <c r="D29" s="2" t="inlineStr">
        <is>
          <t>Consecutive graded-exam scores below passing</t>
        </is>
      </c>
      <c r="E29" s="2" t="inlineStr">
        <is>
          <t>cfgFlagConsecFails</t>
        </is>
      </c>
    </row>
    <row r="30">
      <c r="B30" s="3" t="inlineStr">
        <is>
          <t>Flag: grade drop (points)</t>
        </is>
      </c>
      <c r="C30" s="16" t="n">
        <v>10</v>
      </c>
      <c r="D30" s="2" t="inlineStr">
        <is>
          <t>Drop in recorded score vs cadet's prior exam</t>
        </is>
      </c>
      <c r="E30" s="2" t="inlineStr">
        <is>
          <t>cfgFlagGradeDrop</t>
        </is>
      </c>
    </row>
    <row r="31">
      <c r="B31" s="3" t="inlineStr">
        <is>
          <t>Flag: category margin</t>
        </is>
      </c>
      <c r="C31" s="16" t="n">
        <v>5</v>
      </c>
      <c r="D31" s="2" t="inlineStr">
        <is>
          <t>Category avg within this many points of 70</t>
        </is>
      </c>
      <c r="E31" s="2" t="inlineStr">
        <is>
          <t>cfgFlagCategoryMargin</t>
        </is>
      </c>
    </row>
    <row r="32">
      <c r="B32" s="3" t="inlineStr">
        <is>
          <t>Flag: attendance % of cap</t>
        </is>
      </c>
      <c r="C32" s="38" t="n">
        <v>0.6</v>
      </c>
      <c r="D32" s="2" t="inlineStr">
        <is>
          <t>Classroom or PT usage at/over this % of cap</t>
        </is>
      </c>
      <c r="E32" s="2" t="inlineStr">
        <is>
          <t>cfgFlagAttendancePct</t>
        </is>
      </c>
    </row>
    <row r="33">
      <c r="B33" s="3" t="inlineStr">
        <is>
          <t>Flag: open negative incidents</t>
        </is>
      </c>
      <c r="C33" s="16" t="n">
        <v>2</v>
      </c>
      <c r="D33" s="2" t="inlineStr">
        <is>
          <t>Open negative incidents at/above this count</t>
        </is>
      </c>
      <c r="E33" s="2" t="inlineStr">
        <is>
          <t>cfgFlagOpenIncidents</t>
        </is>
      </c>
    </row>
    <row r="34">
      <c r="B34" s="3" t="inlineStr">
        <is>
          <t>Flag: overdue writing</t>
        </is>
      </c>
      <c r="C34" s="16" t="n">
        <v>1</v>
      </c>
      <c r="D34" s="2" t="inlineStr">
        <is>
          <t>Overdue writing assignments at/above this count</t>
        </is>
      </c>
      <c r="E34" s="2" t="inlineStr">
        <is>
          <t>cfgFlagOverdueWriting</t>
        </is>
      </c>
    </row>
    <row r="35">
      <c r="B35" s="3" t="inlineStr">
        <is>
          <t>Classroom Cap (minutes)</t>
        </is>
      </c>
      <c r="C35" s="40">
        <f>ROUND(cfgTotalScheduledMinutes*cfgClassroomCapPct,0)</f>
        <v/>
      </c>
      <c r="D35" s="2" t="inlineStr">
        <is>
          <t>CALCULATED</t>
        </is>
      </c>
      <c r="E35" s="2" t="inlineStr">
        <is>
          <t>cfgClassroomCapMinutes</t>
        </is>
      </c>
    </row>
    <row r="36">
      <c r="B36" s="3" t="inlineStr">
        <is>
          <t>Weights total (must = 100%)</t>
        </is>
      </c>
      <c r="C36" s="41">
        <f>cfgWeightMajor+cfgWeightMinor+cfgWeightSpelling+cfgWeightFinal</f>
        <v/>
      </c>
      <c r="D36" s="2" t="inlineStr">
        <is>
          <t>CALCULATED</t>
        </is>
      </c>
      <c r="E36" s="2" t="inlineStr">
        <is>
          <t>cfgWeightsTotal</t>
        </is>
      </c>
    </row>
    <row r="37"/>
    <row r="38">
      <c r="B38" s="3" t="inlineStr">
        <is>
          <t>Weights check:</t>
        </is>
      </c>
      <c r="C38" s="20">
        <f>IF(ROUND(cfgWeightsTotal,4)=1,"OK","FIX: weights must total 100%")</f>
        <v/>
      </c>
    </row>
    <row r="39"/>
    <row r="40" ht="16" customHeight="1">
      <c r="B40" s="9" t="inlineStr">
        <is>
          <t>Final PT Assessment — Points Rubric (enter the approved chart when received; engine uses it as soon as points are present)</t>
        </is>
      </c>
      <c r="C40" s="8" t="n"/>
      <c r="D40" s="8" t="n"/>
      <c r="E40" s="8" t="n"/>
      <c r="F40" s="8" t="n"/>
      <c r="G40" s="8" t="n"/>
      <c r="H40" s="8" t="n"/>
      <c r="I40" s="8" t="n"/>
    </row>
    <row r="41" ht="26" customHeight="1">
      <c r="B41" s="12" t="inlineStr">
        <is>
          <t>Event</t>
        </is>
      </c>
      <c r="C41" s="12" t="inlineStr">
        <is>
          <t>Standard (baseline)</t>
        </is>
      </c>
      <c r="D41" s="12" t="inlineStr">
        <is>
          <t>Level 1 pts</t>
        </is>
      </c>
      <c r="E41" s="12" t="inlineStr">
        <is>
          <t>Level 2 pts</t>
        </is>
      </c>
      <c r="F41" s="12" t="inlineStr">
        <is>
          <t>Level 3 pts</t>
        </is>
      </c>
      <c r="G41" s="12" t="inlineStr">
        <is>
          <t>Level 4 pts</t>
        </is>
      </c>
      <c r="H41" s="12" t="inlineStr">
        <is>
          <t>Level 5 pts</t>
        </is>
      </c>
      <c r="I41" s="12" t="inlineStr">
        <is>
          <t>Level thresholds (notes)</t>
        </is>
      </c>
    </row>
    <row r="42">
      <c r="B42" s="3" t="inlineStr">
        <is>
          <t>Bench Press</t>
        </is>
      </c>
      <c r="C42" s="2" t="inlineStr">
        <is>
          <t>62% of body weight (1 rep)</t>
        </is>
      </c>
      <c r="D42" s="22" t="n"/>
      <c r="E42" s="22" t="n"/>
      <c r="F42" s="22" t="n"/>
      <c r="G42" s="22" t="n"/>
      <c r="H42" s="22" t="n"/>
      <c r="I42" s="22" t="n"/>
    </row>
    <row r="43">
      <c r="B43" s="3" t="inlineStr">
        <is>
          <t>Vertical Jump</t>
        </is>
      </c>
      <c r="C43" s="2" t="inlineStr">
        <is>
          <t>14.5 inches</t>
        </is>
      </c>
      <c r="D43" s="22" t="n"/>
      <c r="E43" s="22" t="n"/>
      <c r="F43" s="22" t="n"/>
      <c r="G43" s="22" t="n"/>
      <c r="H43" s="22" t="n"/>
      <c r="I43" s="22" t="n"/>
    </row>
    <row r="44">
      <c r="B44" s="3" t="inlineStr">
        <is>
          <t>Push-ups (1 min)</t>
        </is>
      </c>
      <c r="C44" s="2" t="inlineStr">
        <is>
          <t>18 reps</t>
        </is>
      </c>
      <c r="D44" s="22" t="n"/>
      <c r="E44" s="22" t="n"/>
      <c r="F44" s="22" t="n"/>
      <c r="G44" s="22" t="n"/>
      <c r="H44" s="22" t="n"/>
      <c r="I44" s="22" t="n"/>
    </row>
    <row r="45">
      <c r="B45" s="3" t="inlineStr">
        <is>
          <t>Sit-ups (1 min)</t>
        </is>
      </c>
      <c r="C45" s="2" t="inlineStr">
        <is>
          <t>16 reps</t>
        </is>
      </c>
      <c r="D45" s="22" t="n"/>
      <c r="E45" s="22" t="n"/>
      <c r="F45" s="22" t="n"/>
      <c r="G45" s="22" t="n"/>
      <c r="H45" s="22" t="n"/>
      <c r="I45" s="22" t="n"/>
    </row>
    <row r="46">
      <c r="B46" s="3" t="inlineStr">
        <is>
          <t>Illinois Agility</t>
        </is>
      </c>
      <c r="C46" s="2" t="inlineStr">
        <is>
          <t>under 22.0 seconds</t>
        </is>
      </c>
      <c r="D46" s="22" t="n"/>
      <c r="E46" s="22" t="n"/>
      <c r="F46" s="22" t="n"/>
      <c r="G46" s="22" t="n"/>
      <c r="H46" s="22" t="n"/>
      <c r="I46" s="22" t="n"/>
    </row>
    <row r="47">
      <c r="B47" s="3" t="inlineStr">
        <is>
          <t>1.5 Mile Run</t>
        </is>
      </c>
      <c r="C47" s="2" t="inlineStr">
        <is>
          <t>18:48 or less</t>
        </is>
      </c>
      <c r="D47" s="22" t="n"/>
      <c r="E47" s="22" t="n"/>
      <c r="F47" s="22" t="n"/>
      <c r="G47" s="22" t="n"/>
      <c r="H47" s="22" t="n"/>
      <c r="I47" s="22" t="n"/>
    </row>
    <row r="48">
      <c r="B48" s="3" t="inlineStr">
        <is>
          <t>300 Meter Run</t>
        </is>
      </c>
      <c r="C48" s="2" t="inlineStr">
        <is>
          <t>76 seconds or less</t>
        </is>
      </c>
      <c r="D48" s="22" t="n"/>
      <c r="E48" s="22" t="n"/>
      <c r="F48" s="22" t="n"/>
      <c r="G48" s="22" t="n"/>
      <c r="H48" s="22" t="n"/>
      <c r="I48" s="22" t="n"/>
    </row>
  </sheetData>
  <mergeCells count="1">
    <mergeCell ref="B40:I40"/>
  </mergeCell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LE Work</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Personal</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Medical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Military</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Disciplinary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Other</t>
        </is>
      </c>
      <c r="R11" s="16" t="inlineStr">
        <is>
          <t>Equipment</t>
        </is>
      </c>
      <c r="S11" s="16" t="inlineStr">
        <is>
          <t>Performance Plan</t>
        </is>
      </c>
    </row>
    <row r="12">
      <c r="E12" s="16" t="inlineStr">
        <is>
          <t>PT Missed</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42"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42"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42"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42"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42"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42"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42"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42"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42"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42"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42"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42"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42"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42"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42"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42"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42"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42"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42"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42"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42"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42"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42"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42"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42"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42"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42"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42"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42"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42"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42"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42"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42"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42"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42"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42"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42"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42"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42"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42"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42"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42"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42"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42"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9"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7"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9">
        <f>IF(OR($B56="",$G56=0),"",ROUND($G56-$F56,2))</f>
        <v/>
      </c>
    </row>
    <row r="57">
      <c r="B57" s="16" t="inlineStr">
        <is>
          <t>Crash Investigation</t>
        </is>
      </c>
      <c r="E57" s="16" t="inlineStr">
        <is>
          <t>22</t>
        </is>
      </c>
      <c r="F57" s="16" t="n">
        <v>12</v>
      </c>
      <c r="G57" s="17">
        <f>IF($B57="","",ROUND(SUMIFS(nrSCH_Hrs,nrSCH_Act,$B57),2))</f>
        <v/>
      </c>
      <c r="H57" s="29">
        <f>IF(OR($B57="",$G57=0),"",ROUND($G57-$F57,2))</f>
        <v/>
      </c>
    </row>
    <row r="58">
      <c r="B58" s="16" t="inlineStr">
        <is>
          <t>TIM</t>
        </is>
      </c>
      <c r="E58" s="16" t="inlineStr">
        <is>
          <t>22</t>
        </is>
      </c>
      <c r="F58" s="16" t="n">
        <v>12</v>
      </c>
      <c r="G58" s="17">
        <f>IF($B58="","",ROUND(SUMIFS(nrSCH_Hrs,nrSCH_Act,$B58),2))</f>
        <v/>
      </c>
      <c r="H58" s="29">
        <f>IF(OR($B58="",$G58=0),"",ROUND($G58-$F58,2))</f>
        <v/>
      </c>
    </row>
    <row r="59">
      <c r="B59" s="16" t="inlineStr">
        <is>
          <t>Criminal Investigations - General Investigations</t>
        </is>
      </c>
      <c r="E59" s="16" t="inlineStr">
        <is>
          <t>32</t>
        </is>
      </c>
      <c r="F59" s="16" t="n">
        <v>16</v>
      </c>
      <c r="G59" s="17">
        <f>IF($B59="","",ROUND(SUMIFS(nrSCH_Hrs,nrSCH_Act,$B59),2))</f>
        <v/>
      </c>
      <c r="H59" s="29">
        <f>IF(OR($B59="",$G59=0),"",ROUND($G59-$F59,2))</f>
        <v/>
      </c>
    </row>
    <row r="60">
      <c r="B60" s="16" t="inlineStr">
        <is>
          <t>Criminal Investigations - Auto Theft</t>
        </is>
      </c>
      <c r="E60" s="16" t="inlineStr">
        <is>
          <t>32</t>
        </is>
      </c>
      <c r="F60" s="16" t="n">
        <v>4</v>
      </c>
      <c r="G60" s="17">
        <f>IF($B60="","",ROUND(SUMIFS(nrSCH_Hrs,nrSCH_Act,$B60),2))</f>
        <v/>
      </c>
      <c r="H60" s="29">
        <f>IF(OR($B60="",$G60=0),"",ROUND($G60-$F60,2))</f>
        <v/>
      </c>
    </row>
    <row r="61">
      <c r="B61" s="16" t="inlineStr">
        <is>
          <t>Criminal Investigations - Crime Scene</t>
        </is>
      </c>
      <c r="E61" s="16" t="inlineStr">
        <is>
          <t>32</t>
        </is>
      </c>
      <c r="F61" s="16" t="n">
        <v>8</v>
      </c>
      <c r="G61" s="17">
        <f>IF($B61="","",ROUND(SUMIFS(nrSCH_Hrs,nrSCH_Act,$B61),2))</f>
        <v/>
      </c>
      <c r="H61" s="29">
        <f>IF(OR($B61="",$G61=0),"",ROUND($G61-$F61,2))</f>
        <v/>
      </c>
    </row>
    <row r="62">
      <c r="B62" s="16" t="inlineStr">
        <is>
          <t>Criminal Investigations - Booking Operations</t>
        </is>
      </c>
      <c r="E62" s="16" t="inlineStr">
        <is>
          <t>32</t>
        </is>
      </c>
      <c r="F62" s="16" t="n">
        <v>8</v>
      </c>
      <c r="G62" s="17">
        <f>IF($B62="","",ROUND(SUMIFS(nrSCH_Hrs,nrSCH_Act,$B62),2))</f>
        <v/>
      </c>
      <c r="H62" s="29">
        <f>IF(OR($B62="",$G62=0),"",ROUND($G62-$F62,2))</f>
        <v/>
      </c>
    </row>
    <row r="63">
      <c r="B63" s="16" t="inlineStr">
        <is>
          <t>Criminal Investigations - Interview Techniques</t>
        </is>
      </c>
      <c r="E63" s="16" t="inlineStr">
        <is>
          <t>32</t>
        </is>
      </c>
      <c r="F63" s="16" t="n">
        <v>4</v>
      </c>
      <c r="G63" s="17">
        <f>IF($B63="","",ROUND(SUMIFS(nrSCH_Hrs,nrSCH_Act,$B63),2))</f>
        <v/>
      </c>
      <c r="H63" s="29">
        <f>IF(OR($B63="",$G63=0),"",ROUND($G63-$F63,2))</f>
        <v/>
      </c>
    </row>
    <row r="64">
      <c r="B64" s="16" t="inlineStr">
        <is>
          <t>Criminal Investigations - Case Management</t>
        </is>
      </c>
      <c r="E64" s="16" t="inlineStr">
        <is>
          <t>32</t>
        </is>
      </c>
      <c r="F64" s="16" t="n">
        <v>4</v>
      </c>
      <c r="G64" s="17">
        <f>IF($B64="","",ROUND(SUMIFS(nrSCH_Hrs,nrSCH_Act,$B64),2))</f>
        <v/>
      </c>
      <c r="H64" s="29">
        <f>IF(OR($B64="",$G64=0),"",ROUND($G64-$F64,2))</f>
        <v/>
      </c>
    </row>
    <row r="65">
      <c r="B65" s="16" t="inlineStr">
        <is>
          <t>Criminal Investigations - Media Relations</t>
        </is>
      </c>
      <c r="E65" s="16" t="inlineStr">
        <is>
          <t>32</t>
        </is>
      </c>
      <c r="F65" s="16" t="n">
        <v>4</v>
      </c>
      <c r="G65" s="17">
        <f>IF($B65="","",ROUND(SUMIFS(nrSCH_Hrs,nrSCH_Act,$B65),2))</f>
        <v/>
      </c>
      <c r="H65" s="29">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42"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42"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42"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42"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42"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42"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42"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42"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42"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42"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42"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42"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42"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42"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42"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42"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42"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42"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42"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42"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42"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42"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42"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42"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42"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42"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42"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42"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42"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42"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42"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42"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42"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42"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42"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42"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42"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42"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42"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42"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47.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48.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7" max="17"/>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Flag Count</t>
        </is>
      </c>
      <c r="Q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IF($B6="","",SUM($E6:$O6))</f>
        <v/>
      </c>
      <c r="Q6" s="17">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IF($B7="","",SUM($E7:$O7))</f>
        <v/>
      </c>
      <c r="Q7" s="17">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IF($B8="","",SUM($E8:$O8))</f>
        <v/>
      </c>
      <c r="Q8" s="17">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IF($B9="","",SUM($E9:$O9))</f>
        <v/>
      </c>
      <c r="Q9" s="17">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IF($B10="","",SUM($E10:$O10))</f>
        <v/>
      </c>
      <c r="Q10" s="17">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IF($B11="","",SUM($E11:$O11))</f>
        <v/>
      </c>
      <c r="Q11" s="17">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IF($B12="","",SUM($E12:$O12))</f>
        <v/>
      </c>
      <c r="Q12" s="17">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IF($B13="","",SUM($E13:$O13))</f>
        <v/>
      </c>
      <c r="Q13" s="17">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IF($B14="","",SUM($E14:$O14))</f>
        <v/>
      </c>
      <c r="Q14" s="17">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IF($B15="","",SUM($E15:$O15))</f>
        <v/>
      </c>
      <c r="Q15" s="17">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IF($B16="","",SUM($E16:$O16))</f>
        <v/>
      </c>
      <c r="Q16" s="17">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IF($B17="","",SUM($E17:$O17))</f>
        <v/>
      </c>
      <c r="Q17" s="17">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IF($B18="","",SUM($E18:$O18))</f>
        <v/>
      </c>
      <c r="Q18" s="17">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IF($B19="","",SUM($E19:$O19))</f>
        <v/>
      </c>
      <c r="Q19" s="17">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IF($B20="","",SUM($E20:$O20))</f>
        <v/>
      </c>
      <c r="Q20" s="17">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IF($B21="","",SUM($E21:$O21))</f>
        <v/>
      </c>
      <c r="Q21" s="17">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IF($B22="","",SUM($E22:$O22))</f>
        <v/>
      </c>
      <c r="Q22" s="17">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IF($B23="","",SUM($E23:$O23))</f>
        <v/>
      </c>
      <c r="Q23" s="17">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IF($B24="","",SUM($E24:$O24))</f>
        <v/>
      </c>
      <c r="Q24" s="17">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IF($B25="","",SUM($E25:$O25))</f>
        <v/>
      </c>
      <c r="Q25" s="17">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IF($B26="","",SUM($E26:$O26))</f>
        <v/>
      </c>
      <c r="Q26" s="17">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IF($B27="","",SUM($E27:$O27))</f>
        <v/>
      </c>
      <c r="Q27" s="17">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IF($B28="","",SUM($E28:$O28))</f>
        <v/>
      </c>
      <c r="Q28" s="17">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IF($B29="","",SUM($E29:$O29))</f>
        <v/>
      </c>
      <c r="Q29" s="17">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IF($B30="","",SUM($E30:$O30))</f>
        <v/>
      </c>
      <c r="Q30" s="17">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IF($B31="","",SUM($E31:$O31))</f>
        <v/>
      </c>
      <c r="Q31" s="17">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IF($B32="","",SUM($E32:$O32))</f>
        <v/>
      </c>
      <c r="Q32" s="17">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IF($B33="","",SUM($E33:$O33))</f>
        <v/>
      </c>
      <c r="Q33" s="17">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IF($B34="","",SUM($E34:$O34))</f>
        <v/>
      </c>
      <c r="Q34" s="17">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IF($B35="","",SUM($E35:$O35))</f>
        <v/>
      </c>
      <c r="Q35" s="17">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IF($B36="","",SUM($E36:$O36))</f>
        <v/>
      </c>
      <c r="Q36" s="17">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IF($B37="","",SUM($E37:$O37))</f>
        <v/>
      </c>
      <c r="Q37" s="17">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IF($B38="","",SUM($E38:$O38))</f>
        <v/>
      </c>
      <c r="Q38" s="17">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IF($B39="","",SUM($E39:$O39))</f>
        <v/>
      </c>
      <c r="Q39" s="17">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IF($B40="","",SUM($E40:$O40))</f>
        <v/>
      </c>
      <c r="Q40" s="17">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IF($B41="","",SUM($E41:$O41))</f>
        <v/>
      </c>
      <c r="Q41" s="17">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IF($B42="","",SUM($E42:$O42))</f>
        <v/>
      </c>
      <c r="Q42" s="17">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IF($B43="","",SUM($E43:$O43))</f>
        <v/>
      </c>
      <c r="Q43" s="17">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IF($B44="","",SUM($E44:$O44))</f>
        <v/>
      </c>
      <c r="Q44" s="17">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IF($B45="","",SUM($E45:$O45))</f>
        <v/>
      </c>
      <c r="Q45" s="17">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IF($B46="","",SUM($E46:$O46))</f>
        <v/>
      </c>
      <c r="Q46" s="17">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IF($B47="","",SUM($E47:$O47))</f>
        <v/>
      </c>
      <c r="Q47" s="17">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IF($B48="","",SUM($E48:$O48))</f>
        <v/>
      </c>
      <c r="Q48" s="17">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IF($B49="","",SUM($E49:$O49))</f>
        <v/>
      </c>
      <c r="Q49" s="17">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IF($B50="","",SUM($E50:$O50))</f>
        <v/>
      </c>
      <c r="Q50" s="17">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IF($B51="","",SUM($E51:$O51))</f>
        <v/>
      </c>
      <c r="Q51" s="17">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IF($B52="","",SUM($E52:$O52))</f>
        <v/>
      </c>
      <c r="Q52" s="17">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IF($B53="","",SUM($E53:$O53))</f>
        <v/>
      </c>
      <c r="Q53" s="17">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IF($B54="","",SUM($E54:$O54))</f>
        <v/>
      </c>
      <c r="Q54" s="17">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IF($B55="","",SUM($E55:$O55))</f>
        <v/>
      </c>
      <c r="Q55" s="17">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0">
        <f>IF($E6&lt;&gt;"",$E6,$C6)</f>
        <v/>
      </c>
      <c r="G6" s="16" t="n"/>
    </row>
    <row r="7" ht="30" customHeight="1">
      <c r="B7" s="3" t="inlineStr">
        <is>
          <t>Physical Fitness</t>
        </is>
      </c>
      <c r="C7" s="17">
        <f>IFERROR(INDEX(rngCadetNames,MATCH(MAX(nrPT_FinalPts),nrPT_FinalPts,0)),"")</f>
        <v/>
      </c>
      <c r="D7" s="15">
        <f>"Top final PT points: "&amp;IFERROR(MAX(nrPT_FinalPts),"n/a")</f>
        <v/>
      </c>
      <c r="E7" s="16" t="n"/>
      <c r="F7" s="30">
        <f>IF($E7&lt;&gt;"",$E7,$C7)</f>
        <v/>
      </c>
      <c r="G7" s="16" t="n"/>
    </row>
    <row r="8" ht="30" customHeight="1">
      <c r="B8" s="3" t="inlineStr">
        <is>
          <t>Top Gun</t>
        </is>
      </c>
      <c r="C8" s="17">
        <f>IFERROR(INDEX(rngCadetNames,MATCH(MAX(nrSKfirearmsAvg),nrSKfirearmsAvg,0)),"")</f>
        <v/>
      </c>
      <c r="D8" s="15">
        <f>"Top firearms average: "&amp;IFERROR(ROUND(MAX(nrSKfirearmsAvg),2),"n/a")</f>
        <v/>
      </c>
      <c r="E8" s="16" t="n"/>
      <c r="F8" s="30">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0">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9">
        <f>nrCHtotalDelivered</f>
        <v/>
      </c>
      <c r="D6" s="20">
        <f>cfgRequiredHours</f>
        <v/>
      </c>
      <c r="E6" s="30">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29">
        <f>SUMPRODUCT((nrCHdeliv&lt;&gt;"")*(nrCHdeliv&gt;0)*(nrCHdeliv&lt;nrCHmin))</f>
        <v/>
      </c>
      <c r="D7" s="20" t="n">
        <v>0</v>
      </c>
      <c r="E7" s="30">
        <f>IF(SUMPRODUCT((nrCHdeliv&lt;&gt;"")*(nrCHdeliv&gt;0)*(nrCHdeliv&lt;nrCHmin))=0,"OK","CHECK")</f>
        <v/>
      </c>
      <c r="F7" s="15">
        <f>"Rule 218.1(C)(4): failure to meet minimum course length = denial of training"</f>
        <v/>
      </c>
    </row>
    <row r="8">
      <c r="B8" s="3" t="inlineStr">
        <is>
          <t>Chapter training files incomplete</t>
        </is>
      </c>
      <c r="C8" s="29">
        <f>SUMPRODUCT((nrCHname&lt;&gt;"")*(nrCHfileOK="No"))</f>
        <v/>
      </c>
      <c r="D8" s="20" t="n">
        <v>0</v>
      </c>
      <c r="E8" s="30">
        <f>IF(SUMPRODUCT((nrCHname&lt;&gt;"")*(nrCHfileOK="No"))=0,"OK","CHECK")</f>
        <v/>
      </c>
      <c r="F8" s="15">
        <f>"SME lesson plan, instructor bio, sign-ins w/ PID, assessment, grade sheet, eval"</f>
        <v/>
      </c>
    </row>
    <row r="9">
      <c r="B9" s="3" t="inlineStr">
        <is>
          <t>Special TCOLE chapter requirements unmet</t>
        </is>
      </c>
      <c r="C9" s="29">
        <f>SUMPRODUCT((nrCHspecial&lt;&gt;"")*(nrCHspecialMet&lt;&gt;"Yes")*(nrCHspecialMet&lt;&gt;"N/A"))</f>
        <v/>
      </c>
      <c r="D9" s="20" t="n">
        <v>0</v>
      </c>
      <c r="E9" s="30">
        <f>IF(SUMPRODUCT((nrCHspecial&lt;&gt;"")*(nrCHspecialMet&lt;&gt;"Yes")*(nrCHspecialMet&lt;&gt;"N/A"))=0,"OK","CHECK")</f>
        <v/>
      </c>
      <c r="F9" s="15">
        <f>"TIM, SFST, ALERRT, CPR/AED, TCIC #4800, Crime Stoppers, Seven Step, canine scenarios, CIT lead, SIT 3232"</f>
        <v/>
      </c>
    </row>
    <row r="10">
      <c r="B10" s="3" t="inlineStr">
        <is>
          <t>Chapters without evals collected</t>
        </is>
      </c>
      <c r="C10" s="29">
        <f>SUMPRODUCT((nrCHname&lt;&gt;"")*(nrCHevals&lt;&gt;"On File")*(nrCHevals&lt;&gt;"N/A"))</f>
        <v/>
      </c>
      <c r="D10" s="20" t="n">
        <v>0</v>
      </c>
      <c r="E10" s="30">
        <f>IF(SUMPRODUCT((nrCHname&lt;&gt;"")*(nrCHevals&lt;&gt;"On File")*(nrCHevals&lt;&gt;"N/A"))=0,"OK","CHECK")</f>
        <v/>
      </c>
      <c r="F10" s="15">
        <f>"Course critiques per chapter (print from Print Center)"</f>
        <v/>
      </c>
    </row>
    <row r="11">
      <c r="B11" s="3" t="inlineStr">
        <is>
          <t>Program requirements unchecked (Audit sheet)</t>
        </is>
      </c>
      <c r="C11" s="29">
        <f>SUMPRODUCT((nrPRGitems&lt;&gt;"")*(nrPRGmet&lt;&gt;"Yes"))</f>
        <v/>
      </c>
      <c r="D11" s="20" t="n">
        <v>0</v>
      </c>
      <c r="E11" s="30">
        <f>IF(SUMPRODUCT((nrPRGitems&lt;&gt;"")*(nrPRGmet&lt;&gt;"Yes"))=0,"OK","CHECK")</f>
        <v/>
      </c>
      <c r="F11" s="15">
        <f>"Rule 215.9 distribution, TCLEDDS roster, 736 exact reporting, facility, assessments"</f>
        <v/>
      </c>
    </row>
    <row r="12">
      <c r="B12" s="3" t="inlineStr">
        <is>
          <t>Teaching instructors lacking documentation</t>
        </is>
      </c>
      <c r="C12" s="29">
        <f>SUMPRODUCT((nrInstrOnSched="Yes")*(nrInstrReady="No"))</f>
        <v/>
      </c>
      <c r="D12" s="20" t="n">
        <v>0</v>
      </c>
      <c r="E12" s="30">
        <f>IF(SUMPRODUCT((nrInstrOnSched="Yes")*(nrInstrReady="No"))=0,"OK","CHECK")</f>
        <v/>
      </c>
      <c r="F12" s="15">
        <f>"IRG: every instructor/co-teacher teaching an LO needs bio + TCOLE cert or SME letter"</f>
        <v/>
      </c>
    </row>
    <row r="13">
      <c r="B13" s="3" t="inlineStr">
        <is>
          <t>Schedule blocks with unrecognized instructor</t>
        </is>
      </c>
      <c r="C13" s="29">
        <f>COUNTIF(nrSCH_InstrOK,"UNRECOGNIZED")</f>
        <v/>
      </c>
      <c r="D13" s="20" t="n">
        <v>0</v>
      </c>
      <c r="E13" s="30">
        <f>IF(COUNTIF(nrSCH_InstrOK,"UNRECOGNIZED")=0,"OK","CHECK")</f>
        <v/>
      </c>
      <c r="F13" s="15">
        <f>"Instructor text matches nobody on the Instructors roster - fix spelling or add them"</f>
        <v/>
      </c>
    </row>
    <row r="14">
      <c r="B14" s="3" t="inlineStr">
        <is>
          <t>Overdue retests</t>
        </is>
      </c>
      <c r="C14" s="29">
        <f>COUNTIF(nrES_RetStat,"OVERDUE")</f>
        <v/>
      </c>
      <c r="D14" s="20" t="n">
        <v>0</v>
      </c>
      <c r="E14" s="30">
        <f>IF(COUNTIF(nrES_RetStat,"OVERDUE")=0,"OK","ACT NOW")</f>
        <v/>
      </c>
      <c r="F14" s="15">
        <f>"Policy 300.5: retest within 5 class days"</f>
        <v/>
      </c>
    </row>
    <row r="15">
      <c r="B15" s="3" t="inlineStr">
        <is>
          <t>Cadets with makeup owed</t>
        </is>
      </c>
      <c r="C15" s="29">
        <f>SUMPRODUCT((nrATTmakeupOK="No")*1)</f>
        <v/>
      </c>
      <c r="D15" s="20" t="n">
        <v>0</v>
      </c>
      <c r="E15" s="30">
        <f>IF(SUMPRODUCT((nrATTmakeupOK="No")*1)=0,"OK","CHECK")</f>
        <v/>
      </c>
      <c r="F15" s="15">
        <f>"Missed minutes not yet made up"</f>
        <v/>
      </c>
    </row>
    <row r="16">
      <c r="B16" s="3" t="inlineStr">
        <is>
          <t>Active cadets failing a category</t>
        </is>
      </c>
      <c r="C16" s="29">
        <f>SUMPRODUCT((nrCadetStatus="Active")*(nrGRacademic="No"))</f>
        <v/>
      </c>
      <c r="D16" s="20" t="n">
        <v>0</v>
      </c>
      <c r="E16" s="30">
        <f>IF(SUMPRODUCT((nrCadetStatus="Active")*(nrGRacademic="No"))=0,"OK","CHECK")</f>
        <v/>
      </c>
      <c r="F16" s="15">
        <f>"70 in each category (policy 300.2)"</f>
        <v/>
      </c>
    </row>
    <row r="17">
      <c r="B17" s="3" t="inlineStr">
        <is>
          <t>Spelling interventions open</t>
        </is>
      </c>
      <c r="C17" s="29">
        <f>COUNTIF(nrSpellFlag,"INTERVENTION")</f>
        <v/>
      </c>
      <c r="D17" s="20" t="n">
        <v>0</v>
      </c>
      <c r="E17" s="30">
        <f>IF(COUNTIF(nrSpellFlag,"INTERVENTION")=0,"OK","CHECK")</f>
        <v/>
      </c>
      <c r="F17" s="15">
        <f>"Document intervention on Counseling log (300.4.B)"</f>
        <v/>
      </c>
    </row>
    <row r="18">
      <c r="B18" s="3" t="inlineStr">
        <is>
          <t>Cadets missing certification copies</t>
        </is>
      </c>
      <c r="C18" s="29">
        <f>SUMPRODUCT((nrCadetStatus="Active")*(nrCERTmissing&lt;&gt;""))</f>
        <v/>
      </c>
      <c r="D18" s="20" t="n">
        <v>0</v>
      </c>
      <c r="E18" s="30">
        <f>IF(SUMPRODUCT((nrCadetStatus="Active")*(nrCERTmissing&lt;&gt;""))=0,"OK","CHECK")</f>
        <v/>
      </c>
      <c r="F18" s="15">
        <f>"TIM, SFST, TCIC, CPR/AED, ALERRT, ICS copies - see Certifications sheet"</f>
        <v/>
      </c>
    </row>
    <row r="19">
      <c r="B19" s="3" t="inlineStr">
        <is>
          <t>Firearms: both courses of fire not passed</t>
        </is>
      </c>
      <c r="C19" s="29">
        <f>SUMPRODUCT((nrCadetStatus="Active")*(nrSKbothCoF="No"))</f>
        <v/>
      </c>
      <c r="D19" s="20" t="n">
        <v>0</v>
      </c>
      <c r="E19" s="30">
        <f>IF(SUMPRODUCT((nrCadetStatus="Active")*(nrSKbothCoF="No"))=0,"OK","CHECK")</f>
        <v/>
      </c>
      <c r="F19" s="15">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B8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7.xml><?xml version="1.0" encoding="utf-8"?>
<worksheet xmlns="http://schemas.openxmlformats.org/spreadsheetml/2006/main">
  <sheetPr>
    <tabColor rgb="001E7145"/>
    <outlinePr summaryBelow="1" summaryRight="1"/>
    <pageSetUpPr/>
  </sheetPr>
  <dimension ref="A1:C260"/>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'Settings'!$C$22</t>
        </is>
      </c>
    </row>
    <row r="8">
      <c r="B8" s="14" t="inlineStr">
        <is>
          <t>cfgAttendanceCriticalPct</t>
        </is>
      </c>
      <c r="C8" s="2" t="inlineStr">
        <is>
          <t>'Settings'!$C$23</t>
        </is>
      </c>
    </row>
    <row r="9">
      <c r="B9" s="14" t="inlineStr">
        <is>
          <t>cfgClassroomCapMinutes</t>
        </is>
      </c>
      <c r="C9" s="2" t="inlineStr">
        <is>
          <t>'Settings'!$C$35</t>
        </is>
      </c>
    </row>
    <row r="10">
      <c r="B10" s="14" t="inlineStr">
        <is>
          <t>cfgClassroomCapPct</t>
        </is>
      </c>
      <c r="C10" s="2" t="inlineStr">
        <is>
          <t>'Settings'!$C$20</t>
        </is>
      </c>
    </row>
    <row r="11">
      <c r="B11" s="14" t="inlineStr">
        <is>
          <t>cfgCurrentExamNum</t>
        </is>
      </c>
      <c r="C11" s="2" t="inlineStr">
        <is>
          <t>'Settings'!$C$25</t>
        </is>
      </c>
    </row>
    <row r="12">
      <c r="B12" s="14" t="inlineStr">
        <is>
          <t>cfgCurrentSpellingNum</t>
        </is>
      </c>
      <c r="C12" s="2" t="inlineStr">
        <is>
          <t>'Settings'!$C$26</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'Settings'!$C$32</t>
        </is>
      </c>
    </row>
    <row r="16">
      <c r="B16" s="14" t="inlineStr">
        <is>
          <t>cfgFlagCategoryMargin</t>
        </is>
      </c>
      <c r="C16" s="2" t="inlineStr">
        <is>
          <t>'Settings'!$C$31</t>
        </is>
      </c>
    </row>
    <row r="17">
      <c r="B17" s="14" t="inlineStr">
        <is>
          <t>cfgFlagConsecFails</t>
        </is>
      </c>
      <c r="C17" s="2" t="inlineStr">
        <is>
          <t>'Settings'!$C$29</t>
        </is>
      </c>
    </row>
    <row r="18">
      <c r="B18" s="14" t="inlineStr">
        <is>
          <t>cfgFlagGradeDrop</t>
        </is>
      </c>
      <c r="C18" s="2" t="inlineStr">
        <is>
          <t>'Settings'!$C$30</t>
        </is>
      </c>
    </row>
    <row r="19">
      <c r="B19" s="14" t="inlineStr">
        <is>
          <t>cfgFlagOpenIncidents</t>
        </is>
      </c>
      <c r="C19" s="2" t="inlineStr">
        <is>
          <t>'Settings'!$C$33</t>
        </is>
      </c>
    </row>
    <row r="20">
      <c r="B20" s="14" t="inlineStr">
        <is>
          <t>cfgFlagOverdueWriting</t>
        </is>
      </c>
      <c r="C20" s="2" t="inlineStr">
        <is>
          <t>'Settings'!$C$34</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'Settings'!$C$24</t>
        </is>
      </c>
    </row>
    <row r="24">
      <c r="B24" s="14" t="inlineStr">
        <is>
          <t>cfgPTCapSessions</t>
        </is>
      </c>
      <c r="C24" s="2" t="inlineStr">
        <is>
          <t>'Settings'!$C$21</t>
        </is>
      </c>
    </row>
    <row r="25">
      <c r="B25" s="14" t="inlineStr">
        <is>
          <t>cfgPTFinalMinPoints</t>
        </is>
      </c>
      <c r="C25" s="2" t="inlineStr">
        <is>
          <t>'Settings'!$C$28</t>
        </is>
      </c>
    </row>
    <row r="26">
      <c r="B26" s="14" t="inlineStr">
        <is>
          <t>cfgPacketChapter</t>
        </is>
      </c>
      <c r="C26" s="2" t="inlineStr">
        <is>
          <t>'ChapterPacket'!$C$5</t>
        </is>
      </c>
    </row>
    <row r="27">
      <c r="B27" s="14" t="inlineStr">
        <is>
          <t>cfgPassingScore</t>
        </is>
      </c>
      <c r="C27" s="2" t="inlineStr">
        <is>
          <t>'Settings'!$C$10</t>
        </is>
      </c>
    </row>
    <row r="28">
      <c r="B28" s="14" t="inlineStr">
        <is>
          <t>cfgPreviewAgency</t>
        </is>
      </c>
      <c r="C28" s="2" t="inlineStr">
        <is>
          <t>'EmailPreview'!$C$5</t>
        </is>
      </c>
    </row>
    <row r="29">
      <c r="B29" s="14" t="inlineStr">
        <is>
          <t>cfgProfileCadet</t>
        </is>
      </c>
      <c r="C29" s="2" t="inlineStr">
        <is>
          <t>'CadetProfile'!$C$5</t>
        </is>
      </c>
    </row>
    <row r="30">
      <c r="B30" s="14" t="inlineStr">
        <is>
          <t>cfgRequiredHours</t>
        </is>
      </c>
      <c r="C30" s="2" t="inlineStr">
        <is>
          <t>'sysAudit'!$H$6</t>
        </is>
      </c>
    </row>
    <row r="31">
      <c r="B31" s="14" t="inlineStr">
        <is>
          <t>cfgRetakeRecordedCap</t>
        </is>
      </c>
      <c r="C31" s="2" t="inlineStr">
        <is>
          <t>'Settings'!$C$12</t>
        </is>
      </c>
    </row>
    <row r="32">
      <c r="B32" s="14" t="inlineStr">
        <is>
          <t>cfgRetestClassDays</t>
        </is>
      </c>
      <c r="C32" s="2" t="inlineStr">
        <is>
          <t>'Settings'!$C$14</t>
        </is>
      </c>
    </row>
    <row r="33">
      <c r="B33" s="14" t="inlineStr">
        <is>
          <t>cfgSignInDate</t>
        </is>
      </c>
      <c r="C33" s="2" t="inlineStr">
        <is>
          <t>'SignIn'!$C$5</t>
        </is>
      </c>
    </row>
    <row r="34">
      <c r="B34" s="14" t="inlineStr">
        <is>
          <t>cfgSpellInterventionAvg</t>
        </is>
      </c>
      <c r="C34" s="2" t="inlineStr">
        <is>
          <t>'Settings'!$C$19</t>
        </is>
      </c>
    </row>
    <row r="35">
      <c r="B35" s="14" t="inlineStr">
        <is>
          <t>cfgSpellPrintMode</t>
        </is>
      </c>
      <c r="C35" s="2" t="inlineStr">
        <is>
          <t>'SpellingPrint'!$E$5</t>
        </is>
      </c>
    </row>
    <row r="36">
      <c r="B36" s="14" t="inlineStr">
        <is>
          <t>cfgSpellPrintNum</t>
        </is>
      </c>
      <c r="C36" s="2" t="inlineStr">
        <is>
          <t>'SpellingPrint'!$C$5</t>
        </is>
      </c>
    </row>
    <row r="37">
      <c r="B37" s="14" t="inlineStr">
        <is>
          <t>cfgStartDate</t>
        </is>
      </c>
      <c r="C37" s="2" t="inlineStr">
        <is>
          <t>'Settings'!$C$7</t>
        </is>
      </c>
    </row>
    <row r="38">
      <c r="B38" s="14" t="inlineStr">
        <is>
          <t>cfgThresholdAfterExam</t>
        </is>
      </c>
      <c r="C38" s="2" t="inlineStr">
        <is>
          <t>'Settings'!$C$13</t>
        </is>
      </c>
    </row>
    <row r="39">
      <c r="B39" s="14" t="inlineStr">
        <is>
          <t>cfgThresholdScore</t>
        </is>
      </c>
      <c r="C39" s="2" t="inlineStr">
        <is>
          <t>'Settings'!$C$11</t>
        </is>
      </c>
    </row>
    <row r="40">
      <c r="B40" s="14" t="inlineStr">
        <is>
          <t>cfgTotalScheduledMinutes</t>
        </is>
      </c>
      <c r="C40" s="2" t="inlineStr">
        <is>
          <t>'Settings'!$C$9</t>
        </is>
      </c>
    </row>
    <row r="41">
      <c r="B41" s="14" t="inlineStr">
        <is>
          <t>cfgTranscriptCadet</t>
        </is>
      </c>
      <c r="C41" s="2" t="inlineStr">
        <is>
          <t>'Transcript'!$C$5</t>
        </is>
      </c>
    </row>
    <row r="42">
      <c r="B42" s="14" t="inlineStr">
        <is>
          <t>cfgWeightFinal</t>
        </is>
      </c>
      <c r="C42" s="2" t="inlineStr">
        <is>
          <t>'Settings'!$C$18</t>
        </is>
      </c>
    </row>
    <row r="43">
      <c r="B43" s="14" t="inlineStr">
        <is>
          <t>cfgWeightMajor</t>
        </is>
      </c>
      <c r="C43" s="2" t="inlineStr">
        <is>
          <t>'Settings'!$C$15</t>
        </is>
      </c>
    </row>
    <row r="44">
      <c r="B44" s="14" t="inlineStr">
        <is>
          <t>cfgWeightMinor</t>
        </is>
      </c>
      <c r="C44" s="2" t="inlineStr">
        <is>
          <t>'Settings'!$C$16</t>
        </is>
      </c>
    </row>
    <row r="45">
      <c r="B45" s="14" t="inlineStr">
        <is>
          <t>cfgWeightSpelling</t>
        </is>
      </c>
      <c r="C45" s="2" t="inlineStr">
        <is>
          <t>'Settings'!$C$17</t>
        </is>
      </c>
    </row>
    <row r="46">
      <c r="B46" s="14" t="inlineStr">
        <is>
          <t>cfgWeightsTotal</t>
        </is>
      </c>
      <c r="C46" s="2" t="inlineStr">
        <is>
          <t>'Settings'!$C$36</t>
        </is>
      </c>
    </row>
    <row r="47">
      <c r="B47" s="14" t="inlineStr">
        <is>
          <t>cfgWritingDueTime</t>
        </is>
      </c>
      <c r="C47" s="2" t="inlineStr">
        <is>
          <t>'Settings'!$C$27</t>
        </is>
      </c>
    </row>
    <row r="48">
      <c r="B48" s="14" t="inlineStr">
        <is>
          <t>lstAssignmentType</t>
        </is>
      </c>
      <c r="C48" s="2" t="inlineStr">
        <is>
          <t>'Lists'!$O$6:$O$10</t>
        </is>
      </c>
    </row>
    <row r="49">
      <c r="B49" s="14" t="inlineStr">
        <is>
          <t>lstAttemptNum</t>
        </is>
      </c>
      <c r="C49" s="2" t="inlineStr">
        <is>
          <t>'Lists'!$Q$6:$Q$10</t>
        </is>
      </c>
    </row>
    <row r="50">
      <c r="B50" s="14" t="inlineStr">
        <is>
          <t>lstAttendanceEvent</t>
        </is>
      </c>
      <c r="C50" s="2" t="inlineStr">
        <is>
          <t>'Lists'!$E$6:$E$14</t>
        </is>
      </c>
    </row>
    <row r="51">
      <c r="B51" s="14" t="inlineStr">
        <is>
          <t>lstAward</t>
        </is>
      </c>
      <c r="C51" s="2" t="inlineStr">
        <is>
          <t>'Lists'!$V$6:$V$9</t>
        </is>
      </c>
    </row>
    <row r="52">
      <c r="B52" s="14" t="inlineStr">
        <is>
          <t>lstCadetStatus</t>
        </is>
      </c>
      <c r="C52" s="2" t="inlineStr">
        <is>
          <t>'Lists'!$C$6:$C$9</t>
        </is>
      </c>
    </row>
    <row r="53">
      <c r="B53" s="14" t="inlineStr">
        <is>
          <t>lstCounselingType</t>
        </is>
      </c>
      <c r="C53" s="2" t="inlineStr">
        <is>
          <t>'Lists'!$S$6:$S$13</t>
        </is>
      </c>
    </row>
    <row r="54">
      <c r="B54" s="14" t="inlineStr">
        <is>
          <t>lstDocumentation</t>
        </is>
      </c>
      <c r="C54" s="2" t="inlineStr">
        <is>
          <t>'Lists'!$G$6:$G$8</t>
        </is>
      </c>
    </row>
    <row r="55">
      <c r="B55" s="14" t="inlineStr">
        <is>
          <t>lstExamType</t>
        </is>
      </c>
      <c r="C55" s="2" t="inlineStr">
        <is>
          <t>'Lists'!$D$6:$D$9</t>
        </is>
      </c>
    </row>
    <row r="56">
      <c r="B56" s="14" t="inlineStr">
        <is>
          <t>lstExcused</t>
        </is>
      </c>
      <c r="C56" s="2" t="inlineStr">
        <is>
          <t>'Lists'!$H$6:$H$7</t>
        </is>
      </c>
    </row>
    <row r="57">
      <c r="B57" s="14" t="inlineStr">
        <is>
          <t>lstIncidentDirection</t>
        </is>
      </c>
      <c r="C57" s="2" t="inlineStr">
        <is>
          <t>'Lists'!$L$6:$L$8</t>
        </is>
      </c>
    </row>
    <row r="58">
      <c r="B58" s="14" t="inlineStr">
        <is>
          <t>lstInstructorType</t>
        </is>
      </c>
      <c r="C58" s="2" t="inlineStr">
        <is>
          <t>'Lists'!$W$6:$W$9</t>
        </is>
      </c>
    </row>
    <row r="59">
      <c r="B59" s="14" t="inlineStr">
        <is>
          <t>lstIssuetype</t>
        </is>
      </c>
      <c r="C59" s="2" t="inlineStr">
        <is>
          <t>'Lists'!$R$6:$R$12</t>
        </is>
      </c>
    </row>
    <row r="60">
      <c r="B60" s="14" t="inlineStr">
        <is>
          <t>lstMakeupType</t>
        </is>
      </c>
      <c r="C60" s="2" t="inlineStr">
        <is>
          <t>'Lists'!$I$6:$I$9</t>
        </is>
      </c>
    </row>
    <row r="61">
      <c r="B61" s="14" t="inlineStr">
        <is>
          <t>lstMaterialsStatus</t>
        </is>
      </c>
      <c r="C61" s="2" t="inlineStr">
        <is>
          <t>'Lists'!$X$6:$X$9</t>
        </is>
      </c>
    </row>
    <row r="62">
      <c r="B62" s="14" t="inlineStr">
        <is>
          <t>lstMedicalStatus</t>
        </is>
      </c>
      <c r="C62" s="2" t="inlineStr">
        <is>
          <t>'Lists'!$T$6:$T$9</t>
        </is>
      </c>
    </row>
    <row r="63">
      <c r="B63" s="14" t="inlineStr">
        <is>
          <t>lstPtSession</t>
        </is>
      </c>
      <c r="C63" s="2" t="inlineStr">
        <is>
          <t>'Lists'!$U$6:$U$8</t>
        </is>
      </c>
    </row>
    <row r="64">
      <c r="B64" s="14" t="inlineStr">
        <is>
          <t>lstReason</t>
        </is>
      </c>
      <c r="C64" s="2" t="inlineStr">
        <is>
          <t>'Lists'!$F$6:$F$11</t>
        </is>
      </c>
    </row>
    <row r="65">
      <c r="B65" s="14" t="inlineStr">
        <is>
          <t>lstRequirementSource</t>
        </is>
      </c>
      <c r="C65" s="2" t="inlineStr">
        <is>
          <t>'Lists'!$Y$6:$Y$7</t>
        </is>
      </c>
    </row>
    <row r="66">
      <c r="B66" s="14" t="inlineStr">
        <is>
          <t>lstResolution</t>
        </is>
      </c>
      <c r="C66" s="2" t="inlineStr">
        <is>
          <t>'Lists'!$N$6:$N$9</t>
        </is>
      </c>
    </row>
    <row r="67">
      <c r="B67" s="14" t="inlineStr">
        <is>
          <t>lstReviewOutcome</t>
        </is>
      </c>
      <c r="C67" s="2" t="inlineStr">
        <is>
          <t>'Lists'!$AA$6:$AA$9</t>
        </is>
      </c>
    </row>
    <row r="68">
      <c r="B68" s="14" t="inlineStr">
        <is>
          <t>lstReviewType</t>
        </is>
      </c>
      <c r="C68" s="2" t="inlineStr">
        <is>
          <t>'Lists'!$Z$6:$Z$8</t>
        </is>
      </c>
    </row>
    <row r="69">
      <c r="B69" s="14" t="inlineStr">
        <is>
          <t>lstScoringMode</t>
        </is>
      </c>
      <c r="C69" s="2" t="inlineStr">
        <is>
          <t>'Lists'!$J$6:$J$7</t>
        </is>
      </c>
    </row>
    <row r="70">
      <c r="B70" s="14" t="inlineStr">
        <is>
          <t>lstSeverity</t>
        </is>
      </c>
      <c r="C70" s="2" t="inlineStr">
        <is>
          <t>'Lists'!$M$6:$M$10</t>
        </is>
      </c>
    </row>
    <row r="71">
      <c r="B71" s="14" t="inlineStr">
        <is>
          <t>lstSkillResult</t>
        </is>
      </c>
      <c r="C71" s="2" t="inlineStr">
        <is>
          <t>'Lists'!$K$6:$K$8</t>
        </is>
      </c>
    </row>
    <row r="72">
      <c r="B72" s="14" t="inlineStr">
        <is>
          <t>lstSubmission</t>
        </is>
      </c>
      <c r="C72" s="2" t="inlineStr">
        <is>
          <t>'Lists'!$P$6:$P$9</t>
        </is>
      </c>
    </row>
    <row r="73">
      <c r="B73" s="14" t="inlineStr">
        <is>
          <t>lstYesNo</t>
        </is>
      </c>
      <c r="C73" s="2" t="inlineStr">
        <is>
          <t>'Lists'!$B$6:$B$7</t>
        </is>
      </c>
    </row>
    <row r="74">
      <c r="B74" s="14" t="inlineStr">
        <is>
          <t>nrATTclElig</t>
        </is>
      </c>
      <c r="C74" s="2" t="inlineStr">
        <is>
          <t>'sysAttendance'!$K$6:$K$55</t>
        </is>
      </c>
    </row>
    <row r="75">
      <c r="B75" s="14" t="inlineStr">
        <is>
          <t>nrATTclOwed</t>
        </is>
      </c>
      <c r="C75" s="2" t="inlineStr">
        <is>
          <t>'sysAttendance'!$L$6:$L$55</t>
        </is>
      </c>
    </row>
    <row r="76">
      <c r="B76" s="14" t="inlineStr">
        <is>
          <t>nrATTclPct</t>
        </is>
      </c>
      <c r="C76" s="2" t="inlineStr">
        <is>
          <t>'sysAttendance'!$I$6:$I$55</t>
        </is>
      </c>
    </row>
    <row r="77">
      <c r="B77" s="14" t="inlineStr">
        <is>
          <t>nrATTclTier</t>
        </is>
      </c>
      <c r="C77" s="2" t="inlineStr">
        <is>
          <t>'sysAttendance'!$J$6:$J$55</t>
        </is>
      </c>
    </row>
    <row r="78">
      <c r="B78" s="14" t="inlineStr">
        <is>
          <t>nrATTmakeupOK</t>
        </is>
      </c>
      <c r="C78" s="2" t="inlineStr">
        <is>
          <t>'sysAttendance'!$T$6:$T$55</t>
        </is>
      </c>
    </row>
    <row r="79">
      <c r="B79" s="14" t="inlineStr">
        <is>
          <t>nrATTptElig</t>
        </is>
      </c>
      <c r="C79" s="2" t="inlineStr">
        <is>
          <t>'sysAttendance'!$S$6:$S$55</t>
        </is>
      </c>
    </row>
    <row r="80">
      <c r="B80" s="14" t="inlineStr">
        <is>
          <t>nrATTptPct</t>
        </is>
      </c>
      <c r="C80" s="2" t="inlineStr">
        <is>
          <t>'sysAttendance'!$Q$6:$Q$55</t>
        </is>
      </c>
    </row>
    <row r="81">
      <c r="B81" s="14" t="inlineStr">
        <is>
          <t>nrATTptTier</t>
        </is>
      </c>
      <c r="C81" s="2" t="inlineStr">
        <is>
          <t>'sysAttendance'!$R$6:$R$55</t>
        </is>
      </c>
    </row>
    <row r="82">
      <c r="B82" s="14" t="inlineStr">
        <is>
          <t>nrAT_Counts</t>
        </is>
      </c>
      <c r="C82" s="2" t="inlineStr">
        <is>
          <t>'Attendance'!$N$6:$N$805</t>
        </is>
      </c>
    </row>
    <row r="83">
      <c r="B83" s="14" t="inlineStr">
        <is>
          <t>nrAT_Date</t>
        </is>
      </c>
      <c r="C83" s="2" t="inlineStr">
        <is>
          <t>'Attendance'!$C$6:$C$805</t>
        </is>
      </c>
    </row>
    <row r="84">
      <c r="B84" s="14" t="inlineStr">
        <is>
          <t>nrAT_Excused</t>
        </is>
      </c>
      <c r="C84" s="2" t="inlineStr">
        <is>
          <t>'Attendance'!$M$6:$M$805</t>
        </is>
      </c>
    </row>
    <row r="85">
      <c r="B85" s="14" t="inlineStr">
        <is>
          <t>nrAT_IsPT</t>
        </is>
      </c>
      <c r="C85" s="2" t="inlineStr">
        <is>
          <t>'Attendance'!$K$6:$K$805</t>
        </is>
      </c>
    </row>
    <row r="86">
      <c r="B86" s="14" t="inlineStr">
        <is>
          <t>nrAT_Min</t>
        </is>
      </c>
      <c r="C86" s="2" t="inlineStr">
        <is>
          <t>'Attendance'!$I$6:$I$805</t>
        </is>
      </c>
    </row>
    <row r="87">
      <c r="B87" s="14" t="inlineStr">
        <is>
          <t>nrAT_PID</t>
        </is>
      </c>
      <c r="C87" s="2" t="inlineStr">
        <is>
          <t>'Attendance'!$E$6:$E$805</t>
        </is>
      </c>
    </row>
    <row r="88">
      <c r="B88" s="14" t="inlineStr">
        <is>
          <t>nrAT_Sess</t>
        </is>
      </c>
      <c r="C88" s="2" t="inlineStr">
        <is>
          <t>'Attendance'!$J$6:$J$805</t>
        </is>
      </c>
    </row>
    <row r="89">
      <c r="B89" s="14" t="inlineStr">
        <is>
          <t>nrAT_Type</t>
        </is>
      </c>
      <c r="C89" s="2" t="inlineStr">
        <is>
          <t>'Attendance'!$G$6:$G$805</t>
        </is>
      </c>
    </row>
    <row r="90">
      <c r="B90" s="14" t="inlineStr">
        <is>
          <t>nrAUDcheck</t>
        </is>
      </c>
      <c r="C90" s="2" t="inlineStr">
        <is>
          <t>'sysAudit'!$B$6:$B$19</t>
        </is>
      </c>
    </row>
    <row r="91">
      <c r="B91" s="14" t="inlineStr">
        <is>
          <t>nrAUDstatus</t>
        </is>
      </c>
      <c r="C91" s="2" t="inlineStr">
        <is>
          <t>'sysAudit'!$E$6:$E$19</t>
        </is>
      </c>
    </row>
    <row r="92">
      <c r="B92" s="14" t="inlineStr">
        <is>
          <t>nrAWfinal</t>
        </is>
      </c>
      <c r="C92" s="2" t="inlineStr">
        <is>
          <t>'sysAwards'!$F$6:$F$9</t>
        </is>
      </c>
    </row>
    <row r="93">
      <c r="B93" s="14" t="inlineStr">
        <is>
          <t>nrAWnames</t>
        </is>
      </c>
      <c r="C93" s="2" t="inlineStr">
        <is>
          <t>'sysAwards'!$B$6:$B$9</t>
        </is>
      </c>
    </row>
    <row r="94">
      <c r="B94" s="14" t="inlineStr">
        <is>
          <t>nrAgencyLastEmail</t>
        </is>
      </c>
      <c r="C94" s="2" t="inlineStr">
        <is>
          <t>'Agencies'!$I$6:$I$50</t>
        </is>
      </c>
    </row>
    <row r="95">
      <c r="B95" s="14" t="inlineStr">
        <is>
          <t>nrAllClosures</t>
        </is>
      </c>
      <c r="C95" s="2" t="inlineStr">
        <is>
          <t>'Control'!$M$6:$M$42</t>
        </is>
      </c>
    </row>
    <row r="96">
      <c r="B96" s="14" t="inlineStr">
        <is>
          <t>nrBankGrid</t>
        </is>
      </c>
      <c r="C96" s="2" t="inlineStr">
        <is>
          <t>'InstructorBanks'!$C$6:$L$80</t>
        </is>
      </c>
    </row>
    <row r="97">
      <c r="B97" s="14" t="inlineStr">
        <is>
          <t>nrBankSel</t>
        </is>
      </c>
      <c r="C97" s="2" t="inlineStr">
        <is>
          <t>'InstructorBanks'!$M$6:$T$80</t>
        </is>
      </c>
    </row>
    <row r="98">
      <c r="B98" s="14" t="inlineStr">
        <is>
          <t>nrBankTopics</t>
        </is>
      </c>
      <c r="C98" s="2" t="inlineStr">
        <is>
          <t>'InstructorBanks'!$B$6:$B$80</t>
        </is>
      </c>
    </row>
    <row r="99">
      <c r="B99" s="14" t="inlineStr">
        <is>
          <t>nrCDdate</t>
        </is>
      </c>
      <c r="C99" s="2" t="inlineStr">
        <is>
          <t>'Control'!$I$6:$I$175</t>
        </is>
      </c>
    </row>
    <row r="100">
      <c r="B100" s="14" t="inlineStr">
        <is>
          <t>nrCDinsession</t>
        </is>
      </c>
      <c r="C100" s="2" t="inlineStr">
        <is>
          <t>'Control'!$K$6:$K$175</t>
        </is>
      </c>
    </row>
    <row r="101">
      <c r="B101" s="14" t="inlineStr">
        <is>
          <t>nrCDnum</t>
        </is>
      </c>
      <c r="C101" s="2" t="inlineStr">
        <is>
          <t>'Control'!$H$6:$H$175</t>
        </is>
      </c>
    </row>
    <row r="102">
      <c r="B102" s="14" t="inlineStr">
        <is>
          <t>nrCDweek</t>
        </is>
      </c>
      <c r="C102" s="2" t="inlineStr">
        <is>
          <t>'Control'!$J$6:$J$175</t>
        </is>
      </c>
    </row>
    <row r="103">
      <c r="B103" s="14" t="inlineStr">
        <is>
          <t>nrCERTall</t>
        </is>
      </c>
      <c r="C103" s="2" t="inlineStr">
        <is>
          <t>'Certifications'!$T$6:$T$55</t>
        </is>
      </c>
    </row>
    <row r="104">
      <c r="B104" s="14" t="inlineStr">
        <is>
          <t>nrCERTmissing</t>
        </is>
      </c>
      <c r="C104" s="2" t="inlineStr">
        <is>
          <t>'Certifications'!$U$6:$U$55</t>
        </is>
      </c>
    </row>
    <row r="105">
      <c r="B105" s="14" t="inlineStr">
        <is>
          <t>nrCHassess</t>
        </is>
      </c>
      <c r="C105" s="2" t="inlineStr">
        <is>
          <t>'ChapterMaster'!$O$6:$O$49</t>
        </is>
      </c>
    </row>
    <row r="106">
      <c r="B106" s="14" t="inlineStr">
        <is>
          <t>nrCHbio</t>
        </is>
      </c>
      <c r="C106" s="2" t="inlineStr">
        <is>
          <t>'ChapterMaster'!$M$6:$M$49</t>
        </is>
      </c>
    </row>
    <row r="107">
      <c r="B107" s="14" t="inlineStr">
        <is>
          <t>nrCHdeliv</t>
        </is>
      </c>
      <c r="C107" s="2" t="inlineStr">
        <is>
          <t>'ChapterMaster'!$G$6:$G$49</t>
        </is>
      </c>
    </row>
    <row r="108">
      <c r="B108" s="14" t="inlineStr">
        <is>
          <t>nrCHevals</t>
        </is>
      </c>
      <c r="C108" s="2" t="inlineStr">
        <is>
          <t>'ChapterMaster'!$Q$6:$Q$49</t>
        </is>
      </c>
    </row>
    <row r="109">
      <c r="B109" s="14" t="inlineStr">
        <is>
          <t>nrCHfileOK</t>
        </is>
      </c>
      <c r="C109" s="2" t="inlineStr">
        <is>
          <t>'ChapterMaster'!$U$6:$U$49</t>
        </is>
      </c>
    </row>
    <row r="110">
      <c r="B110" s="14" t="inlineStr">
        <is>
          <t>nrCHfirst</t>
        </is>
      </c>
      <c r="C110" s="2" t="inlineStr">
        <is>
          <t>'ChapterMaster'!$I$6:$I$49</t>
        </is>
      </c>
    </row>
    <row r="111">
      <c r="B111" s="14" t="inlineStr">
        <is>
          <t>nrCHgrade</t>
        </is>
      </c>
      <c r="C111" s="2" t="inlineStr">
        <is>
          <t>'ChapterMaster'!$P$6:$P$49</t>
        </is>
      </c>
    </row>
    <row r="112">
      <c r="B112" s="14" t="inlineStr">
        <is>
          <t>nrCHhandoutOpt</t>
        </is>
      </c>
      <c r="C112" s="2" t="inlineStr">
        <is>
          <t>'ChapterMaster'!$R$6:$R$49</t>
        </is>
      </c>
    </row>
    <row r="113">
      <c r="B113" s="14" t="inlineStr">
        <is>
          <t>nrCHinstr</t>
        </is>
      </c>
      <c r="C113" s="2" t="inlineStr">
        <is>
          <t>'ChapterMaster'!$K$6:$K$49</t>
        </is>
      </c>
    </row>
    <row r="114">
      <c r="B114" s="14" t="inlineStr">
        <is>
          <t>nrCHlesson</t>
        </is>
      </c>
      <c r="C114" s="2" t="inlineStr">
        <is>
          <t>'ChapterMaster'!$L$6:$L$49</t>
        </is>
      </c>
    </row>
    <row r="115">
      <c r="B115" s="14" t="inlineStr">
        <is>
          <t>nrCHmin</t>
        </is>
      </c>
      <c r="C115" s="2" t="inlineStr">
        <is>
          <t>'ChapterMaster'!$E$6:$E$49</t>
        </is>
      </c>
    </row>
    <row r="116">
      <c r="B116" s="14" t="inlineStr">
        <is>
          <t>nrCHmod</t>
        </is>
      </c>
      <c r="C116" s="2" t="inlineStr">
        <is>
          <t>'ChapterMaster'!$B$6:$B$49</t>
        </is>
      </c>
    </row>
    <row r="117">
      <c r="B117" s="14" t="inlineStr">
        <is>
          <t>nrCHname</t>
        </is>
      </c>
      <c r="C117" s="2" t="inlineStr">
        <is>
          <t>'ChapterMaster'!$D$6:$D$49</t>
        </is>
      </c>
    </row>
    <row r="118">
      <c r="B118" s="14" t="inlineStr">
        <is>
          <t>nrCHnum</t>
        </is>
      </c>
      <c r="C118" s="2" t="inlineStr">
        <is>
          <t>'ChapterMaster'!$C$6:$C$49</t>
        </is>
      </c>
    </row>
    <row r="119">
      <c r="B119" s="14" t="inlineStr">
        <is>
          <t>nrCHplan</t>
        </is>
      </c>
      <c r="C119" s="2" t="inlineStr">
        <is>
          <t>'ChapterMaster'!$F$6:$F$49</t>
        </is>
      </c>
    </row>
    <row r="120">
      <c r="B120" s="14" t="inlineStr">
        <is>
          <t>nrCHsignin</t>
        </is>
      </c>
      <c r="C120" s="2" t="inlineStr">
        <is>
          <t>'ChapterMaster'!$N$6:$N$49</t>
        </is>
      </c>
    </row>
    <row r="121">
      <c r="B121" s="14" t="inlineStr">
        <is>
          <t>nrCHspecial</t>
        </is>
      </c>
      <c r="C121" s="2" t="inlineStr">
        <is>
          <t>'ChapterMaster'!$S$6:$S$49</t>
        </is>
      </c>
    </row>
    <row r="122">
      <c r="B122" s="14" t="inlineStr">
        <is>
          <t>nrCHspecialMet</t>
        </is>
      </c>
      <c r="C122" s="2" t="inlineStr">
        <is>
          <t>'ChapterMaster'!$T$6:$T$49</t>
        </is>
      </c>
    </row>
    <row r="123">
      <c r="B123" s="14" t="inlineStr">
        <is>
          <t>nrCHtotalDelivered</t>
        </is>
      </c>
      <c r="C123" s="2" t="inlineStr">
        <is>
          <t>'ChapterMaster'!$G$51</t>
        </is>
      </c>
    </row>
    <row r="124">
      <c r="B124" s="14" t="inlineStr">
        <is>
          <t>nrCKblocking</t>
        </is>
      </c>
      <c r="C124" s="2" t="inlineStr">
        <is>
          <t>'sysChecks'!$O$6:$O$55</t>
        </is>
      </c>
    </row>
    <row r="125">
      <c r="B125" s="14" t="inlineStr">
        <is>
          <t>nrCKfinalExamElig</t>
        </is>
      </c>
      <c r="C125" s="2" t="inlineStr">
        <is>
          <t>'sysChecks'!$P$6:$P$55</t>
        </is>
      </c>
    </row>
    <row r="126">
      <c r="B126" s="14" t="inlineStr">
        <is>
          <t>nrCKgradElig</t>
        </is>
      </c>
      <c r="C126" s="2" t="inlineStr">
        <is>
          <t>'sysChecks'!$N$6:$N$55</t>
        </is>
      </c>
    </row>
    <row r="127">
      <c r="B127" s="14" t="inlineStr">
        <is>
          <t>nrCO_Date</t>
        </is>
      </c>
      <c r="C127" s="2" t="inlineStr">
        <is>
          <t>'Counseling'!$C$6:$C$405</t>
        </is>
      </c>
    </row>
    <row r="128">
      <c r="B128" s="14" t="inlineStr">
        <is>
          <t>nrCO_Desc</t>
        </is>
      </c>
      <c r="C128" s="2" t="inlineStr">
        <is>
          <t>'Counseling'!$H$6:$H$405</t>
        </is>
      </c>
    </row>
    <row r="129">
      <c r="B129" s="14" t="inlineStr">
        <is>
          <t>nrCO_PID</t>
        </is>
      </c>
      <c r="C129" s="2" t="inlineStr">
        <is>
          <t>'Counseling'!$E$6:$E$405</t>
        </is>
      </c>
    </row>
    <row r="130">
      <c r="B130" s="14" t="inlineStr">
        <is>
          <t>nrCO_Status</t>
        </is>
      </c>
      <c r="C130" s="2" t="inlineStr">
        <is>
          <t>'Counseling'!$M$6:$M$405</t>
        </is>
      </c>
    </row>
    <row r="131">
      <c r="B131" s="14" t="inlineStr">
        <is>
          <t>nrCO_Type</t>
        </is>
      </c>
      <c r="C131" s="2" t="inlineStr">
        <is>
          <t>'Counseling'!$F$6:$F$405</t>
        </is>
      </c>
    </row>
    <row r="132">
      <c r="B132" s="14" t="inlineStr">
        <is>
          <t>nrCadetAgency</t>
        </is>
      </c>
      <c r="C132" s="2" t="inlineStr">
        <is>
          <t>'Cadets'!$H$6:$H$55</t>
        </is>
      </c>
    </row>
    <row r="133">
      <c r="B133" s="14" t="inlineStr">
        <is>
          <t>nrCadetAgencyID</t>
        </is>
      </c>
      <c r="C133" s="2" t="inlineStr">
        <is>
          <t>'Cadets'!$G$6:$G$55</t>
        </is>
      </c>
    </row>
    <row r="134">
      <c r="B134" s="14" t="inlineStr">
        <is>
          <t>nrCadetStatus</t>
        </is>
      </c>
      <c r="C134" s="2" t="inlineStr">
        <is>
          <t>'Cadets'!$I$6:$I$55</t>
        </is>
      </c>
    </row>
    <row r="135">
      <c r="B135" s="14" t="inlineStr">
        <is>
          <t>nrELagency</t>
        </is>
      </c>
      <c r="C135" s="2" t="inlineStr">
        <is>
          <t>'EmailLog'!$C$6:$C$505</t>
        </is>
      </c>
    </row>
    <row r="136">
      <c r="B136" s="14" t="inlineStr">
        <is>
          <t>nrELdate</t>
        </is>
      </c>
      <c r="C136" s="2" t="inlineStr">
        <is>
          <t>'EmailLog'!$B$6:$B$505</t>
        </is>
      </c>
    </row>
    <row r="137">
      <c r="B137" s="14" t="inlineStr">
        <is>
          <t>nrEPVgrid</t>
        </is>
      </c>
      <c r="C137" s="2" t="inlineStr">
        <is>
          <t>'EmailPreview'!$B$9:$J$58</t>
        </is>
      </c>
    </row>
    <row r="138">
      <c r="B138" s="14" t="inlineStr">
        <is>
          <t>nrEPVsinceRow</t>
        </is>
      </c>
      <c r="C138" s="2" t="inlineStr">
        <is>
          <t>'EmailPreview'!$B$62</t>
        </is>
      </c>
    </row>
    <row r="139">
      <c r="B139" s="14" t="inlineStr">
        <is>
          <t>nrES_Att</t>
        </is>
      </c>
      <c r="C139" s="2" t="inlineStr">
        <is>
          <t>'ExamScores'!$K$6:$K$1505</t>
        </is>
      </c>
    </row>
    <row r="140">
      <c r="B140" s="14" t="inlineStr">
        <is>
          <t>nrES_Code</t>
        </is>
      </c>
      <c r="C140" s="2" t="inlineStr">
        <is>
          <t>'ExamScores'!$F$6:$F$1505</t>
        </is>
      </c>
    </row>
    <row r="141">
      <c r="B141" s="14" t="inlineStr">
        <is>
          <t>nrES_Date</t>
        </is>
      </c>
      <c r="C141" s="2" t="inlineStr">
        <is>
          <t>'ExamScores'!$S$6:$S$1505</t>
        </is>
      </c>
    </row>
    <row r="142">
      <c r="B142" s="14" t="inlineStr">
        <is>
          <t>nrES_Dis</t>
        </is>
      </c>
      <c r="C142" s="2" t="inlineStr">
        <is>
          <t>'ExamScores'!$R$6:$R$1505</t>
        </is>
      </c>
    </row>
    <row r="143">
      <c r="B143" s="14" t="inlineStr">
        <is>
          <t>nrES_Final</t>
        </is>
      </c>
      <c r="C143" s="2" t="inlineStr">
        <is>
          <t>'ExamScores'!$P$6:$P$1505</t>
        </is>
      </c>
    </row>
    <row r="144">
      <c r="B144" s="14" t="inlineStr">
        <is>
          <t>nrES_PID</t>
        </is>
      </c>
      <c r="C144" s="2" t="inlineStr">
        <is>
          <t>'ExamScores'!$D$6:$D$1505</t>
        </is>
      </c>
    </row>
    <row r="145">
      <c r="B145" s="14" t="inlineStr">
        <is>
          <t>nrES_Raw</t>
        </is>
      </c>
      <c r="C145" s="2" t="inlineStr">
        <is>
          <t>'ExamScores'!$L$6:$L$1505</t>
        </is>
      </c>
    </row>
    <row r="146">
      <c r="B146" s="14" t="inlineStr">
        <is>
          <t>nrES_Rec</t>
        </is>
      </c>
      <c r="C146" s="2" t="inlineStr">
        <is>
          <t>'ExamScores'!$M$6:$M$1505</t>
        </is>
      </c>
    </row>
    <row r="147">
      <c r="B147" s="14" t="inlineStr">
        <is>
          <t>nrES_RetDue</t>
        </is>
      </c>
      <c r="C147" s="2" t="inlineStr">
        <is>
          <t>'ExamScores'!$T$6:$T$1505</t>
        </is>
      </c>
    </row>
    <row r="148">
      <c r="B148" s="14" t="inlineStr">
        <is>
          <t>nrES_RetReq</t>
        </is>
      </c>
      <c r="C148" s="2" t="inlineStr">
        <is>
          <t>'ExamScores'!$Q$6:$Q$1505</t>
        </is>
      </c>
    </row>
    <row r="149">
      <c r="B149" s="14" t="inlineStr">
        <is>
          <t>nrES_RetStat</t>
        </is>
      </c>
      <c r="C149" s="2" t="inlineStr">
        <is>
          <t>'ExamScores'!$U$6:$U$1505</t>
        </is>
      </c>
    </row>
    <row r="150">
      <c r="B150" s="14" t="inlineStr">
        <is>
          <t>nrES_Seq</t>
        </is>
      </c>
      <c r="C150" s="2" t="inlineStr">
        <is>
          <t>'ExamScores'!$I$6:$I$1505</t>
        </is>
      </c>
    </row>
    <row r="151">
      <c r="B151" s="14" t="inlineStr">
        <is>
          <t>nrES_Type</t>
        </is>
      </c>
      <c r="C151" s="2" t="inlineStr">
        <is>
          <t>'ExamScores'!$H$6:$H$1505</t>
        </is>
      </c>
    </row>
    <row r="152">
      <c r="B152" s="14" t="inlineStr">
        <is>
          <t>nrExtraClosures</t>
        </is>
      </c>
      <c r="C152" s="2" t="inlineStr">
        <is>
          <t>'Control'!$F$6:$F$20</t>
        </is>
      </c>
    </row>
    <row r="153">
      <c r="B153" s="14" t="inlineStr">
        <is>
          <t>nrFLcount</t>
        </is>
      </c>
      <c r="C153" s="2" t="inlineStr">
        <is>
          <t>'sysFlags'!$P$6:$P$55</t>
        </is>
      </c>
    </row>
    <row r="154">
      <c r="B154" s="14" t="inlineStr">
        <is>
          <t>nrFLreasons</t>
        </is>
      </c>
      <c r="C154" s="2" t="inlineStr">
        <is>
          <t>'sysFlags'!$Q$6:$Q$55</t>
        </is>
      </c>
    </row>
    <row r="155">
      <c r="B155" s="14" t="inlineStr">
        <is>
          <t>nrGRacademic</t>
        </is>
      </c>
      <c r="C155" s="2" t="inlineStr">
        <is>
          <t>'sysGrades'!$V$6:$V$55</t>
        </is>
      </c>
    </row>
    <row r="156">
      <c r="B156" s="14" t="inlineStr">
        <is>
          <t>nrGRconsec</t>
        </is>
      </c>
      <c r="C156" s="2" t="inlineStr">
        <is>
          <t>'sysGrades'!$AC$6:$AC$55</t>
        </is>
      </c>
    </row>
    <row r="157">
      <c r="B157" s="14" t="inlineStr">
        <is>
          <t>nrGRcurrent</t>
        </is>
      </c>
      <c r="C157" s="2" t="inlineStr">
        <is>
          <t>'sysGrades'!$M$6:$M$55</t>
        </is>
      </c>
    </row>
    <row r="158">
      <c r="B158" s="14" t="inlineStr">
        <is>
          <t>nrGRdisrev</t>
        </is>
      </c>
      <c r="C158" s="2" t="inlineStr">
        <is>
          <t>'sysGrades'!$P$6:$P$55</t>
        </is>
      </c>
    </row>
    <row r="159">
      <c r="B159" s="14" t="inlineStr">
        <is>
          <t>nrGRfinal</t>
        </is>
      </c>
      <c r="C159" s="2" t="inlineStr">
        <is>
          <t>'sysGrades'!$N$6:$N$55</t>
        </is>
      </c>
    </row>
    <row r="160">
      <c r="B160" s="14" t="inlineStr">
        <is>
          <t>nrGRgradedrop</t>
        </is>
      </c>
      <c r="C160" s="2" t="inlineStr">
        <is>
          <t>'sysGrades'!$AB$6:$AB$55</t>
        </is>
      </c>
    </row>
    <row r="161">
      <c r="B161" s="14" t="inlineStr">
        <is>
          <t>nrGRmajavg</t>
        </is>
      </c>
      <c r="C161" s="2" t="inlineStr">
        <is>
          <t>'sysGrades'!$I$6:$I$55</t>
        </is>
      </c>
    </row>
    <row r="162">
      <c r="B162" s="14" t="inlineStr">
        <is>
          <t>nrGRminavg</t>
        </is>
      </c>
      <c r="C162" s="2" t="inlineStr">
        <is>
          <t>'sysGrades'!$J$6:$J$55</t>
        </is>
      </c>
    </row>
    <row r="163">
      <c r="B163" s="14" t="inlineStr">
        <is>
          <t>nrGRrank</t>
        </is>
      </c>
      <c r="C163" s="2" t="inlineStr">
        <is>
          <t>'sysGrades'!$U$6:$U$55</t>
        </is>
      </c>
    </row>
    <row r="164">
      <c r="B164" s="14" t="inlineStr">
        <is>
          <t>nrGRretakes</t>
        </is>
      </c>
      <c r="C164" s="2" t="inlineStr">
        <is>
          <t>'sysGrades'!$O$6:$O$55</t>
        </is>
      </c>
    </row>
    <row r="165">
      <c r="B165" s="14" t="inlineStr">
        <is>
          <t>nrHolidays1</t>
        </is>
      </c>
      <c r="C165" s="2" t="inlineStr">
        <is>
          <t>'Control'!$C$6:$C$16</t>
        </is>
      </c>
    </row>
    <row r="166">
      <c r="B166" s="14" t="inlineStr">
        <is>
          <t>nrHolidays2</t>
        </is>
      </c>
      <c r="C166" s="2" t="inlineStr">
        <is>
          <t>'Control'!$D$6:$D$16</t>
        </is>
      </c>
    </row>
    <row r="167">
      <c r="B167" s="14" t="inlineStr">
        <is>
          <t>nrINCelig</t>
        </is>
      </c>
      <c r="C167" s="2" t="inlineStr">
        <is>
          <t>'sysIncidents'!$K$6:$K$55</t>
        </is>
      </c>
    </row>
    <row r="168">
      <c r="B168" s="14" t="inlineStr">
        <is>
          <t>nrINCopenNeg</t>
        </is>
      </c>
      <c r="C168" s="2" t="inlineStr">
        <is>
          <t>'sysIncidents'!$H$6:$H$55</t>
        </is>
      </c>
    </row>
    <row r="169">
      <c r="B169" s="14" t="inlineStr">
        <is>
          <t>nrIN_Chain</t>
        </is>
      </c>
      <c r="C169" s="2" t="inlineStr">
        <is>
          <t>'Incidents'!$L$6:$L$405</t>
        </is>
      </c>
    </row>
    <row r="170">
      <c r="B170" s="14" t="inlineStr">
        <is>
          <t>nrIN_Date</t>
        </is>
      </c>
      <c r="C170" s="2" t="inlineStr">
        <is>
          <t>'Incidents'!$C$6:$C$405</t>
        </is>
      </c>
    </row>
    <row r="171">
      <c r="B171" s="14" t="inlineStr">
        <is>
          <t>nrIN_Desc</t>
        </is>
      </c>
      <c r="C171" s="2" t="inlineStr">
        <is>
          <t>'Incidents'!$I$6:$I$405</t>
        </is>
      </c>
    </row>
    <row r="172">
      <c r="B172" s="14" t="inlineStr">
        <is>
          <t>nrIN_Dir</t>
        </is>
      </c>
      <c r="C172" s="2" t="inlineStr">
        <is>
          <t>'Incidents'!$F$6:$F$405</t>
        </is>
      </c>
    </row>
    <row r="173">
      <c r="B173" s="14" t="inlineStr">
        <is>
          <t>nrIN_PID</t>
        </is>
      </c>
      <c r="C173" s="2" t="inlineStr">
        <is>
          <t>'Incidents'!$E$6:$E$405</t>
        </is>
      </c>
    </row>
    <row r="174">
      <c r="B174" s="14" t="inlineStr">
        <is>
          <t>nrIN_Res</t>
        </is>
      </c>
      <c r="C174" s="2" t="inlineStr">
        <is>
          <t>'Incidents'!$M$6:$M$405</t>
        </is>
      </c>
    </row>
    <row r="175">
      <c r="B175" s="14" t="inlineStr">
        <is>
          <t>nrIN_Sev</t>
        </is>
      </c>
      <c r="C175" s="2" t="inlineStr">
        <is>
          <t>'Incidents'!$G$6:$G$405</t>
        </is>
      </c>
    </row>
    <row r="176">
      <c r="B176" s="14" t="inlineStr">
        <is>
          <t>nrInstrChTaught</t>
        </is>
      </c>
      <c r="C176" s="2" t="inlineStr">
        <is>
          <t>'Instructors'!$M$6:$M$95</t>
        </is>
      </c>
    </row>
    <row r="177">
      <c r="B177" s="14" t="inlineStr">
        <is>
          <t>nrInstrNames</t>
        </is>
      </c>
      <c r="C177" s="2" t="inlineStr">
        <is>
          <t>'Instructors'!$B$6:$B$95</t>
        </is>
      </c>
    </row>
    <row r="178">
      <c r="B178" s="14" t="inlineStr">
        <is>
          <t>nrInstrOnSched</t>
        </is>
      </c>
      <c r="C178" s="2" t="inlineStr">
        <is>
          <t>'Instructors'!$L$6:$L$95</t>
        </is>
      </c>
    </row>
    <row r="179">
      <c r="B179" s="14" t="inlineStr">
        <is>
          <t>nrInstrReady</t>
        </is>
      </c>
      <c r="C179" s="2" t="inlineStr">
        <is>
          <t>'Instructors'!$K$6:$K$95</t>
        </is>
      </c>
    </row>
    <row r="180">
      <c r="B180" s="14" t="inlineStr">
        <is>
          <t>nrMD_PID</t>
        </is>
      </c>
      <c r="C180" s="2" t="inlineStr">
        <is>
          <t>'Medical'!$E$6:$E$205</t>
        </is>
      </c>
    </row>
    <row r="181">
      <c r="B181" s="14" t="inlineStr">
        <is>
          <t>nrMD_Restr</t>
        </is>
      </c>
      <c r="C181" s="2" t="inlineStr">
        <is>
          <t>'Medical'!$H$6:$H$205</t>
        </is>
      </c>
    </row>
    <row r="182">
      <c r="B182" s="14" t="inlineStr">
        <is>
          <t>nrMD_Status</t>
        </is>
      </c>
      <c r="C182" s="2" t="inlineStr">
        <is>
          <t>'Medical'!$M$6:$M$205</t>
        </is>
      </c>
    </row>
    <row r="183">
      <c r="B183" s="14" t="inlineStr">
        <is>
          <t>nrMK_Credit</t>
        </is>
      </c>
      <c r="C183" s="2" t="inlineStr">
        <is>
          <t>'Makeup'!$L$6:$L$505</t>
        </is>
      </c>
    </row>
    <row r="184">
      <c r="B184" s="14" t="inlineStr">
        <is>
          <t>nrMK_Min</t>
        </is>
      </c>
      <c r="C184" s="2" t="inlineStr">
        <is>
          <t>'Makeup'!$G$6:$G$505</t>
        </is>
      </c>
    </row>
    <row r="185">
      <c r="B185" s="14" t="inlineStr">
        <is>
          <t>nrMK_PID</t>
        </is>
      </c>
      <c r="C185" s="2" t="inlineStr">
        <is>
          <t>'Makeup'!$E$6:$E$505</t>
        </is>
      </c>
    </row>
    <row r="186">
      <c r="B186" s="14" t="inlineStr">
        <is>
          <t>nrMK_Sess</t>
        </is>
      </c>
      <c r="C186" s="2" t="inlineStr">
        <is>
          <t>'Makeup'!$H$6:$H$505</t>
        </is>
      </c>
    </row>
    <row r="187">
      <c r="B187" s="14" t="inlineStr">
        <is>
          <t>nrMK_Type</t>
        </is>
      </c>
      <c r="C187" s="2" t="inlineStr">
        <is>
          <t>'Makeup'!$F$6:$F$505</t>
        </is>
      </c>
    </row>
    <row r="188">
      <c r="B188" s="14" t="inlineStr">
        <is>
          <t>nrPRGitems</t>
        </is>
      </c>
      <c r="C188" s="2" t="inlineStr">
        <is>
          <t>'Audit'!$B$30:$B$41</t>
        </is>
      </c>
    </row>
    <row r="189">
      <c r="B189" s="14" t="inlineStr">
        <is>
          <t>nrPRGmet</t>
        </is>
      </c>
      <c r="C189" s="2" t="inlineStr">
        <is>
          <t>'Audit'!$F$30:$F$41</t>
        </is>
      </c>
    </row>
    <row r="190">
      <c r="B190" s="14" t="inlineStr">
        <is>
          <t>nrPTRubricEvents</t>
        </is>
      </c>
      <c r="C190" s="2" t="inlineStr">
        <is>
          <t>'Settings'!$B$42:$B$48</t>
        </is>
      </c>
    </row>
    <row r="191">
      <c r="B191" s="14" t="inlineStr">
        <is>
          <t>nrPTRubricPoints</t>
        </is>
      </c>
      <c r="C191" s="2" t="inlineStr">
        <is>
          <t>'Settings'!$D$42:$H$48</t>
        </is>
      </c>
    </row>
    <row r="192">
      <c r="B192" s="14" t="inlineStr">
        <is>
          <t>nrPT_BasePass</t>
        </is>
      </c>
      <c r="C192" s="2" t="inlineStr">
        <is>
          <t>'PT'!$K$6:$K$55</t>
        </is>
      </c>
    </row>
    <row r="193">
      <c r="B193" s="14" t="inlineStr">
        <is>
          <t>nrPT_FinalPass</t>
        </is>
      </c>
      <c r="C193" s="2" t="inlineStr">
        <is>
          <t>'PT'!$AB$6:$AB$55</t>
        </is>
      </c>
    </row>
    <row r="194">
      <c r="B194" s="14" t="inlineStr">
        <is>
          <t>nrPT_FinalPts</t>
        </is>
      </c>
      <c r="C194" s="2" t="inlineStr">
        <is>
          <t>'PT'!$AA$6:$AA$55</t>
        </is>
      </c>
    </row>
    <row r="195">
      <c r="B195" s="14" t="inlineStr">
        <is>
          <t>nrPT_Improve</t>
        </is>
      </c>
      <c r="C195" s="2" t="inlineStr">
        <is>
          <t>'PT'!$AC$6:$AC$55</t>
        </is>
      </c>
    </row>
    <row r="196">
      <c r="B196" s="14" t="inlineStr">
        <is>
          <t>nrSCH_Act</t>
        </is>
      </c>
      <c r="C196" s="2" t="inlineStr">
        <is>
          <t>'Schedule'!$G$6:$G$905</t>
        </is>
      </c>
    </row>
    <row r="197">
      <c r="B197" s="14" t="inlineStr">
        <is>
          <t>nrSCH_ChNum</t>
        </is>
      </c>
      <c r="C197" s="2" t="inlineStr">
        <is>
          <t>'Schedule'!$H$6:$H$905</t>
        </is>
      </c>
    </row>
    <row r="198">
      <c r="B198" s="14" t="inlineStr">
        <is>
          <t>nrSCH_Date</t>
        </is>
      </c>
      <c r="C198" s="2" t="inlineStr">
        <is>
          <t>'Schedule'!$B$6:$B$905</t>
        </is>
      </c>
    </row>
    <row r="199">
      <c r="B199" s="14" t="inlineStr">
        <is>
          <t>nrSCH_End</t>
        </is>
      </c>
      <c r="C199" s="2" t="inlineStr">
        <is>
          <t>'Schedule'!$E$6:$E$905</t>
        </is>
      </c>
    </row>
    <row r="200">
      <c r="B200" s="14" t="inlineStr">
        <is>
          <t>nrSCH_Hrs</t>
        </is>
      </c>
      <c r="C200" s="2" t="inlineStr">
        <is>
          <t>'Schedule'!$F$6:$F$905</t>
        </is>
      </c>
    </row>
    <row r="201">
      <c r="B201" s="14" t="inlineStr">
        <is>
          <t>nrSCH_Instr</t>
        </is>
      </c>
      <c r="C201" s="2" t="inlineStr">
        <is>
          <t>'Schedule'!$I$6:$I$905</t>
        </is>
      </c>
    </row>
    <row r="202">
      <c r="B202" s="14" t="inlineStr">
        <is>
          <t>nrSCH_InstrOK</t>
        </is>
      </c>
      <c r="C202" s="2" t="inlineStr">
        <is>
          <t>'Schedule'!$N$6:$N$905</t>
        </is>
      </c>
    </row>
    <row r="203">
      <c r="B203" s="14" t="inlineStr">
        <is>
          <t>nrSCH_Loc</t>
        </is>
      </c>
      <c r="C203" s="2" t="inlineStr">
        <is>
          <t>'Schedule'!$J$6:$J$905</t>
        </is>
      </c>
    </row>
    <row r="204">
      <c r="B204" s="14" t="inlineStr">
        <is>
          <t>nrSCH_Start</t>
        </is>
      </c>
      <c r="C204" s="2" t="inlineStr">
        <is>
          <t>'Schedule'!$D$6:$D$905</t>
        </is>
      </c>
    </row>
    <row r="205">
      <c r="B205" s="14" t="inlineStr">
        <is>
          <t>nrSEstatus</t>
        </is>
      </c>
      <c r="C205" s="2" t="inlineStr">
        <is>
          <t>'StateExam'!$K$6:$K$55</t>
        </is>
      </c>
    </row>
    <row r="206">
      <c r="B206" s="14" t="inlineStr">
        <is>
          <t>nrSGclassavg</t>
        </is>
      </c>
      <c r="C206" s="2" t="inlineStr">
        <is>
          <t>'ScoresGrid'!$D$57:$AB$57</t>
        </is>
      </c>
    </row>
    <row r="207">
      <c r="B207" s="14" t="inlineStr">
        <is>
          <t>nrSK_Att</t>
        </is>
      </c>
      <c r="C207" s="2" t="inlineStr">
        <is>
          <t>'Skills'!$I$6:$I$605</t>
        </is>
      </c>
    </row>
    <row r="208">
      <c r="B208" s="14" t="inlineStr">
        <is>
          <t>nrSK_Cat</t>
        </is>
      </c>
      <c r="C208" s="2" t="inlineStr">
        <is>
          <t>'Skills'!$E$6:$E$605</t>
        </is>
      </c>
    </row>
    <row r="209">
      <c r="B209" s="14" t="inlineStr">
        <is>
          <t>nrSK_CoF</t>
        </is>
      </c>
      <c r="C209" s="2" t="inlineStr">
        <is>
          <t>'Skills'!$R$6:$R$605</t>
        </is>
      </c>
    </row>
    <row r="210">
      <c r="B210" s="14" t="inlineStr">
        <is>
          <t>nrSK_Dis</t>
        </is>
      </c>
      <c r="C210" s="2" t="inlineStr">
        <is>
          <t>'Skills'!$P$6:$P$605</t>
        </is>
      </c>
    </row>
    <row r="211">
      <c r="B211" s="14" t="inlineStr">
        <is>
          <t>nrSK_PID</t>
        </is>
      </c>
      <c r="C211" s="2" t="inlineStr">
        <is>
          <t>'Skills'!$D$6:$D$605</t>
        </is>
      </c>
    </row>
    <row r="212">
      <c r="B212" s="14" t="inlineStr">
        <is>
          <t>nrSK_Res</t>
        </is>
      </c>
      <c r="C212" s="2" t="inlineStr">
        <is>
          <t>'Skills'!$J$6:$J$605</t>
        </is>
      </c>
    </row>
    <row r="213">
      <c r="B213" s="14" t="inlineStr">
        <is>
          <t>nrSK_Score</t>
        </is>
      </c>
      <c r="C213" s="2" t="inlineStr">
        <is>
          <t>'Skills'!$K$6:$K$605</t>
        </is>
      </c>
    </row>
    <row r="214">
      <c r="B214" s="14" t="inlineStr">
        <is>
          <t>nrSK_Status</t>
        </is>
      </c>
      <c r="C214" s="2" t="inlineStr">
        <is>
          <t>'Skills'!$O$6:$O$605</t>
        </is>
      </c>
    </row>
    <row r="215">
      <c r="B215" s="14" t="inlineStr">
        <is>
          <t>nrSKbothCoF</t>
        </is>
      </c>
      <c r="C215" s="2" t="inlineStr">
        <is>
          <t>'sysSkills'!$P$6:$P$55</t>
        </is>
      </c>
    </row>
    <row r="216">
      <c r="B216" s="14" t="inlineStr">
        <is>
          <t>nrSKelig</t>
        </is>
      </c>
      <c r="C216" s="2" t="inlineStr">
        <is>
          <t>'sysSkills'!$K$6:$K$55</t>
        </is>
      </c>
    </row>
    <row r="217">
      <c r="B217" s="14" t="inlineStr">
        <is>
          <t>nrSKfailedout</t>
        </is>
      </c>
      <c r="C217" s="2" t="inlineStr">
        <is>
          <t>'sysSkills'!$J$6:$J$55</t>
        </is>
      </c>
    </row>
    <row r="218">
      <c r="B218" s="14" t="inlineStr">
        <is>
          <t>nrSKfirearmsAvg</t>
        </is>
      </c>
      <c r="C218" s="2" t="inlineStr">
        <is>
          <t>'sysSkills'!$L$6:$L$55</t>
        </is>
      </c>
    </row>
    <row r="219">
      <c r="B219" s="14" t="inlineStr">
        <is>
          <t>nrSUBname</t>
        </is>
      </c>
      <c r="C219" s="2" t="inlineStr">
        <is>
          <t>'ChapterMaster'!$B$56:$B$70</t>
        </is>
      </c>
    </row>
    <row r="220">
      <c r="B220" s="14" t="inlineStr">
        <is>
          <t>nrSUBparent</t>
        </is>
      </c>
      <c r="C220" s="2" t="inlineStr">
        <is>
          <t>'ChapterMaster'!$E$56:$E$70</t>
        </is>
      </c>
    </row>
    <row r="221">
      <c r="B221" s="14" t="inlineStr">
        <is>
          <t>nrSUBtarget</t>
        </is>
      </c>
      <c r="C221" s="2" t="inlineStr">
        <is>
          <t>'ChapterMaster'!$F$56:$F$70</t>
        </is>
      </c>
    </row>
    <row r="222">
      <c r="B222" s="14" t="inlineStr">
        <is>
          <t>nrScheduleItems</t>
        </is>
      </c>
      <c r="C222" s="2" t="inlineStr">
        <is>
          <t>'sysListsHelper'!$B$6:$B$89</t>
        </is>
      </c>
    </row>
    <row r="223">
      <c r="B223" s="14" t="inlineStr">
        <is>
          <t>nrSpellAvg</t>
        </is>
      </c>
      <c r="C223" s="2" t="inlineStr">
        <is>
          <t>'Spelling'!$P$6:$P$55</t>
        </is>
      </c>
    </row>
    <row r="224">
      <c r="B224" s="14" t="inlineStr">
        <is>
          <t>nrSpellClassAvg</t>
        </is>
      </c>
      <c r="C224" s="2" t="inlineStr">
        <is>
          <t>'Spelling'!$D$58:$O$58</t>
        </is>
      </c>
    </row>
    <row r="225">
      <c r="B225" s="14" t="inlineStr">
        <is>
          <t>nrSpellCounts</t>
        </is>
      </c>
      <c r="C225" s="2" t="inlineStr">
        <is>
          <t>'Spelling'!$D$57:$O$57</t>
        </is>
      </c>
    </row>
    <row r="226">
      <c r="B226" s="14" t="inlineStr">
        <is>
          <t>nrSpellFlag</t>
        </is>
      </c>
      <c r="C226" s="2" t="inlineStr">
        <is>
          <t>'Spelling'!$R$6:$R$55</t>
        </is>
      </c>
    </row>
    <row r="227">
      <c r="B227" s="14" t="inlineStr">
        <is>
          <t>nrSpellTaken</t>
        </is>
      </c>
      <c r="C227" s="2" t="inlineStr">
        <is>
          <t>'Spelling'!$Q$6:$Q$55</t>
        </is>
      </c>
    </row>
    <row r="228">
      <c r="B228" s="14" t="inlineStr">
        <is>
          <t>nrSpellTestNums</t>
        </is>
      </c>
      <c r="C228" s="2" t="inlineStr">
        <is>
          <t>'Spelling'!$D$59:$O$59</t>
        </is>
      </c>
    </row>
    <row r="229">
      <c r="B229" s="14" t="inlineStr">
        <is>
          <t>nrSpellWords</t>
        </is>
      </c>
      <c r="C229" s="2" t="inlineStr">
        <is>
          <t>'SpellingMaster'!$C$6:$N$30</t>
        </is>
      </c>
    </row>
    <row r="230">
      <c r="B230" s="14" t="inlineStr">
        <is>
          <t>nrWRcomplete</t>
        </is>
      </c>
      <c r="C230" s="2" t="inlineStr">
        <is>
          <t>'Writing'!$AR$6:$AR$55</t>
        </is>
      </c>
    </row>
    <row r="231">
      <c r="B231" s="14" t="inlineStr">
        <is>
          <t>nrWRcurrent</t>
        </is>
      </c>
      <c r="C231" s="2" t="inlineStr">
        <is>
          <t>'Writing'!$AT$6:$AT$55</t>
        </is>
      </c>
    </row>
    <row r="232">
      <c r="B232" s="14" t="inlineStr">
        <is>
          <t>nrWRoverdue</t>
        </is>
      </c>
      <c r="C232" s="2" t="inlineStr">
        <is>
          <t>'Writing'!$AS$6:$AS$55</t>
        </is>
      </c>
    </row>
    <row r="233">
      <c r="B233" s="14" t="inlineStr">
        <is>
          <t>rngAgencyActive</t>
        </is>
      </c>
      <c r="C233" s="2" t="inlineStr">
        <is>
          <t>'Agencies'!$H$6:$H$50</t>
        </is>
      </c>
    </row>
    <row r="234">
      <c r="B234" s="14" t="inlineStr">
        <is>
          <t>rngAgencyEmails</t>
        </is>
      </c>
      <c r="C234" s="2" t="inlineStr">
        <is>
          <t>'Agencies'!$E$6:$E$50</t>
        </is>
      </c>
    </row>
    <row r="235">
      <c r="B235" s="14" t="inlineStr">
        <is>
          <t>rngAgencyIDs</t>
        </is>
      </c>
      <c r="C235" s="2" t="inlineStr">
        <is>
          <t>'Agencies'!$B$6:$B$50</t>
        </is>
      </c>
    </row>
    <row r="236">
      <c r="B236" s="14" t="inlineStr">
        <is>
          <t>rngAgencyNames</t>
        </is>
      </c>
      <c r="C236" s="2" t="inlineStr">
        <is>
          <t>'Agencies'!$C$6:$C$50</t>
        </is>
      </c>
    </row>
    <row r="237">
      <c r="B237" s="14" t="inlineStr">
        <is>
          <t>rngCadetNames</t>
        </is>
      </c>
      <c r="C237" s="2" t="inlineStr">
        <is>
          <t>'Cadets'!$F$6:$F$55</t>
        </is>
      </c>
    </row>
    <row r="238">
      <c r="B238" s="14" t="inlineStr">
        <is>
          <t>rngCadetPIDs</t>
        </is>
      </c>
      <c r="C238" s="2" t="inlineStr">
        <is>
          <t>'Cadets'!$B$6:$B$55</t>
        </is>
      </c>
    </row>
    <row r="239">
      <c r="B239" s="14" t="inlineStr">
        <is>
          <t>rngEMcode</t>
        </is>
      </c>
      <c r="C239" s="2" t="inlineStr">
        <is>
          <t>'ExamMaster'!$B$6:$B$30</t>
        </is>
      </c>
    </row>
    <row r="240">
      <c r="B240" s="14" t="inlineStr">
        <is>
          <t>rngEMname</t>
        </is>
      </c>
      <c r="C240" s="2" t="inlineStr">
        <is>
          <t>'ExamMaster'!$C$6:$C$30</t>
        </is>
      </c>
    </row>
    <row r="241">
      <c r="B241" s="14" t="inlineStr">
        <is>
          <t>rngEMpass</t>
        </is>
      </c>
      <c r="C241" s="2" t="inlineStr">
        <is>
          <t>'ExamMaster'!$E$6:$E$30</t>
        </is>
      </c>
    </row>
    <row r="242">
      <c r="B242" s="14" t="inlineStr">
        <is>
          <t>rngEMseq</t>
        </is>
      </c>
      <c r="C242" s="2" t="inlineStr">
        <is>
          <t>'ExamMaster'!$F$6:$F$30</t>
        </is>
      </c>
    </row>
    <row r="243">
      <c r="B243" s="14" t="inlineStr">
        <is>
          <t>rngEMtype</t>
        </is>
      </c>
      <c r="C243" s="2" t="inlineStr">
        <is>
          <t>'ExamMaster'!$D$6:$D$30</t>
        </is>
      </c>
    </row>
    <row r="244">
      <c r="B244" s="14" t="inlineStr">
        <is>
          <t>rngEPch</t>
        </is>
      </c>
      <c r="C244" s="2" t="inlineStr">
        <is>
          <t>'ExamPlan'!$H$6:$H$30</t>
        </is>
      </c>
    </row>
    <row r="245">
      <c r="B245" s="14" t="inlineStr">
        <is>
          <t>rngEPcode</t>
        </is>
      </c>
      <c r="C245" s="2" t="inlineStr">
        <is>
          <t>'ExamPlan'!$C$6:$C$30</t>
        </is>
      </c>
    </row>
    <row r="246">
      <c r="B246" s="14" t="inlineStr">
        <is>
          <t>rngEPdate</t>
        </is>
      </c>
      <c r="C246" s="2" t="inlineStr">
        <is>
          <t>'ExamPlan'!$I$6:$I$30</t>
        </is>
      </c>
    </row>
    <row r="247">
      <c r="B247" s="14" t="inlineStr">
        <is>
          <t>rngEPname</t>
        </is>
      </c>
      <c r="C247" s="2" t="inlineStr">
        <is>
          <t>'ExamPlan'!$D$6:$D$30</t>
        </is>
      </c>
    </row>
    <row r="248">
      <c r="B248" s="14" t="inlineStr">
        <is>
          <t>rngEPpass</t>
        </is>
      </c>
      <c r="C248" s="2" t="inlineStr">
        <is>
          <t>'ExamPlan'!$F$6:$F$30</t>
        </is>
      </c>
    </row>
    <row r="249">
      <c r="B249" s="14" t="inlineStr">
        <is>
          <t>rngEPseq</t>
        </is>
      </c>
      <c r="C249" s="2" t="inlineStr">
        <is>
          <t>'ExamPlan'!$G$6:$G$30</t>
        </is>
      </c>
    </row>
    <row r="250">
      <c r="B250" s="14" t="inlineStr">
        <is>
          <t>rngEPtype</t>
        </is>
      </c>
      <c r="C250" s="2" t="inlineStr">
        <is>
          <t>'ExamPlan'!$E$6:$E$30</t>
        </is>
      </c>
    </row>
    <row r="251">
      <c r="B251" s="14" t="inlineStr">
        <is>
          <t>rngEPuse</t>
        </is>
      </c>
      <c r="C251" s="2" t="inlineStr">
        <is>
          <t>'ExamPlan'!$B$6:$B$30</t>
        </is>
      </c>
    </row>
    <row r="252">
      <c r="B252" s="14" t="inlineStr">
        <is>
          <t>rngSM_cat</t>
        </is>
      </c>
      <c r="C252" s="2" t="inlineStr">
        <is>
          <t>'SkillsMaster'!$B$6:$B$15</t>
        </is>
      </c>
    </row>
    <row r="253">
      <c r="B253" s="14" t="inlineStr">
        <is>
          <t>rngSM_max</t>
        </is>
      </c>
      <c r="C253" s="2" t="inlineStr">
        <is>
          <t>'SkillsMaster'!$C$6:$C$15</t>
        </is>
      </c>
    </row>
    <row r="254">
      <c r="B254" s="14" t="inlineStr">
        <is>
          <t>rngSM_mode</t>
        </is>
      </c>
      <c r="C254" s="2" t="inlineStr">
        <is>
          <t>'SkillsMaster'!$D$6:$D$15</t>
        </is>
      </c>
    </row>
    <row r="255">
      <c r="B255" s="14" t="inlineStr">
        <is>
          <t>rngSM_pass</t>
        </is>
      </c>
      <c r="C255" s="2" t="inlineStr">
        <is>
          <t>'SkillsMaster'!$E$6:$E$15</t>
        </is>
      </c>
    </row>
    <row r="256">
      <c r="B256" s="14" t="inlineStr">
        <is>
          <t>rngWMassigned</t>
        </is>
      </c>
      <c r="C256" s="2" t="inlineStr">
        <is>
          <t>'WritingMaster'!$K$6:$K$45</t>
        </is>
      </c>
    </row>
    <row r="257">
      <c r="B257" s="14" t="inlineStr">
        <is>
          <t>rngWMdue</t>
        </is>
      </c>
      <c r="C257" s="2" t="inlineStr">
        <is>
          <t>'WritingMaster'!$L$6:$L$45</t>
        </is>
      </c>
    </row>
    <row r="258">
      <c r="B258" s="14" t="inlineStr">
        <is>
          <t>rngWMnum</t>
        </is>
      </c>
      <c r="C258" s="2" t="inlineStr">
        <is>
          <t>'WritingMaster'!$B$6:$B$45</t>
        </is>
      </c>
    </row>
    <row r="259">
      <c r="B259" s="14" t="inlineStr">
        <is>
          <t>rngWMprompt</t>
        </is>
      </c>
      <c r="C259" s="2" t="inlineStr">
        <is>
          <t>'WritingMaster'!$M$6:$M$45</t>
        </is>
      </c>
    </row>
    <row r="260">
      <c r="B260" s="14" t="inlineStr">
        <is>
          <t>rngWMtitle</t>
        </is>
      </c>
      <c r="C260"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2026-08-20T14:40:11Z</dcterms:created>
  <dcterms:modified xsi:type="dcterms:W3CDTF">2026-08-20T14:40:16Z</dcterms:modified>
</cp:coreProperties>
</file>