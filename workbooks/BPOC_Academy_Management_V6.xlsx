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PT" sheetId="14" state="visible" r:id="rId14"/>
    <sheet name="Medical" sheetId="15" state="visible" r:id="rId15"/>
    <sheet name="Certifications" sheetId="16" state="visible" r:id="rId16"/>
    <sheet name="StateExam" sheetId="17" state="visible" r:id="rId17"/>
    <sheet name="DismissalLog" sheetId="18" state="visible" r:id="rId18"/>
    <sheet name="ScoresGrid" sheetId="19" state="visible" r:id="rId19"/>
    <sheet name="Ranking" sheetId="20" state="visible" r:id="rId20"/>
    <sheet name="WatchList" sheetId="21" state="visible" r:id="rId21"/>
    <sheet name="CadetProfile" sheetId="22" state="visible" r:id="rId22"/>
    <sheet name="Transcript" sheetId="23" state="visible" r:id="rId23"/>
    <sheet name="GradChecklist" sheetId="24" state="visible" r:id="rId24"/>
    <sheet name="Audit" sheetId="25" state="visible" r:id="rId25"/>
    <sheet name="Addendum" sheetId="26" state="visible" r:id="rId26"/>
    <sheet name="ChapterPacket" sheetId="27" state="visible" r:id="rId27"/>
    <sheet name="ExamSheet" sheetId="28" state="visible" r:id="rId28"/>
    <sheet name="SignIn" sheetId="29" state="visible" r:id="rId29"/>
    <sheet name="EvalSheet" sheetId="30" state="visible" r:id="rId30"/>
    <sheet name="SpellingPrint" sheetId="31" state="visible" r:id="rId31"/>
    <sheet name="WritingHandout" sheetId="32" state="visible" r:id="rId32"/>
    <sheet name="EmailPreview" sheetId="33" state="visible" r:id="rId33"/>
    <sheet name="EmailLog" sheetId="34" state="visible" r:id="rId34"/>
    <sheet name="Settings" sheetId="35" state="visible" r:id="rId35"/>
    <sheet name="Lists" sheetId="36" state="visible" r:id="rId36"/>
    <sheet name="Agencies" sheetId="37" state="visible" r:id="rId37"/>
    <sheet name="Instructors" sheetId="38" state="visible" r:id="rId38"/>
    <sheet name="InstructorBanks" sheetId="39" state="visible" r:id="rId39"/>
    <sheet name="ChapterMaster" sheetId="40" state="visible" r:id="rId40"/>
    <sheet name="ExamMaster" sheetId="41" state="visible" r:id="rId41"/>
    <sheet name="ExamPlan" sheetId="42" state="visible" r:id="rId42"/>
    <sheet name="SkillsMaster" sheetId="43" state="visible" r:id="rId43"/>
    <sheet name="SpellingMaster" sheetId="44" state="visible" r:id="rId44"/>
    <sheet name="WritingMaster" sheetId="45" state="visible" r:id="rId45"/>
    <sheet name="Control" sheetId="46" state="visible" r:id="rId46"/>
    <sheet name="Schedule" sheetId="47" state="visible" r:id="rId47"/>
    <sheet name="sysGrades" sheetId="48" state="visible" r:id="rId48"/>
    <sheet name="sysAttendance" sheetId="49" state="visible" r:id="rId49"/>
    <sheet name="sysSkills" sheetId="50" state="visible" r:id="rId50"/>
    <sheet name="sysIncidents" sheetId="51" state="visible" r:id="rId51"/>
    <sheet name="sysFlags" sheetId="52" state="visible" r:id="rId52"/>
    <sheet name="sysChecks" sheetId="53" state="visible" r:id="rId53"/>
    <sheet name="sysAwards" sheetId="54" state="visible" r:id="rId54"/>
    <sheet name="sysAudit" sheetId="55" state="visible" r:id="rId55"/>
    <sheet name="sysListsHelper" sheetId="56" state="hidden" r:id="rId56"/>
    <sheet name="NamedRanges" sheetId="57" state="visible" r:id="rId57"/>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'sysFlags'!$P$6:$P$55</definedName>
    <definedName name="nrFLreasons">'sysFlags'!$Q$6:$Q$55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'sysAudit'!$E$6:$E$19</definedName>
    <definedName name="nrAUDcheck">'sysAudit'!$B$6:$B$19</definedName>
    <definedName name="nrSGclassavg">'ScoresGrid'!$D$57:$AB$57</definedName>
    <definedName name="cfgProfileCadet">'CadetProfile'!$C$5</definedName>
    <definedName name="cfgTranscriptCadet">'Transcript'!$C$5</definedName>
    <definedName name="nrPRGitems">'Audit'!$B$30:$B$39</definedName>
    <definedName name="nrPRGmet">'Audit'!$F$30:$F$39</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'Attendance'!$B$5:$O$5</definedName>
    <definedName name="_xlnm._FilterDatabase" localSheetId="8" hidden="1">'Makeup'!$B$5:$M$5</definedName>
    <definedName name="_xlnm._FilterDatabase" localSheetId="9" hidden="1">'Skills'!$B$5:$R$5</definedName>
    <definedName name="_xlnm._FilterDatabase" localSheetId="11" hidden="1">'Incidents'!$B$5:$N$5</definedName>
    <definedName name="_xlnm._FilterDatabase" localSheetId="12" hidden="1">'Counseling'!$B$5:$N$5</definedName>
    <definedName name="_xlnm._FilterDatabase" localSheetId="14" hidden="1">'Medical'!$B$5:$N$5</definedName>
    <definedName name="_xlnm._FilterDatabase" localSheetId="17" hidden="1">'DismissalLog'!$B$5:$O$5</definedName>
    <definedName name="_xlnm.Print_Titles" localSheetId="19">'Ranking'!$5:$5</definedName>
    <definedName name="_xlnm.Print_Area" localSheetId="19">'Ranking'!$B$5:$J$60</definedName>
    <definedName name="_xlnm.Print_Titles" localSheetId="20">'WatchList'!$5:$5</definedName>
    <definedName name="_xlnm.Print_Area" localSheetId="20">'WatchList'!$B$5:$I$60</definedName>
    <definedName name="_xlnm.Print_Area" localSheetId="21">'CadetProfile'!$B$5:$J$72</definedName>
    <definedName name="_xlnm.Print_Area" localSheetId="22">'Transcript'!$B$5:$J$58</definedName>
    <definedName name="_xlnm.Print_Titles" localSheetId="23">'GradChecklist'!$5:$5</definedName>
    <definedName name="_xlnm.Print_Area" localSheetId="23">'GradChecklist'!$B$5:$P$55</definedName>
    <definedName name="_xlnm.Print_Titles" localSheetId="24">'Audit'!$42:$42</definedName>
    <definedName name="_xlnm.Print_Area" localSheetId="24">'Audit'!$B$5:$I$92</definedName>
    <definedName name="_xlnm.Print_Titles" localSheetId="25">'Addendum'!$8:$8</definedName>
    <definedName name="_xlnm.Print_Area" localSheetId="25">'Addendum'!$B$5:$G$60</definedName>
    <definedName name="_xlnm.Print_Area" localSheetId="26">'ChapterPacket'!$B$5:$I$65</definedName>
    <definedName name="_xlnm.Print_Titles" localSheetId="27">'ExamSheet'!$10:$10</definedName>
    <definedName name="_xlnm.Print_Area" localSheetId="27">'ExamSheet'!$B$7:$I$64</definedName>
    <definedName name="_xlnm.Print_Area" localSheetId="28">'SignIn'!$B$5:$H$73</definedName>
    <definedName name="_xlnm.Print_Area" localSheetId="29">'EvalSheet'!$B$7:$H$36</definedName>
    <definedName name="_xlnm.Print_Area" localSheetId="30">'SpellingPrint'!$B$7:$F$26</definedName>
    <definedName name="_xlnm.Print_Area" localSheetId="31">'WritingHandout'!$B$7:$F$19</definedName>
    <definedName name="_xlnm._FilterDatabase" localSheetId="33" hidden="1">'EmailLog'!$B$5:$I$5</definedName>
    <definedName name="_xlnm._FilterDatabase" localSheetId="46" hidden="1">'Schedule'!$B$5:$N$5</definedName>
    <definedName name="_xlnm.Print_Titles" localSheetId="46">'Schedule'!$5:$5</definedName>
    <definedName name="_xlnm.Print_Area" localSheetId="46">'Schedule'!$B$5:$M$406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pivotButton="0" quotePrefix="0" xfId="0"/>
    <xf numFmtId="0" fontId="0" fillId="5" borderId="0" pivotButton="0" quotePrefix="0" xfId="0"/>
    <xf numFmtId="0" fontId="7" fillId="5" borderId="0" applyAlignment="1" pivotButton="0" quotePrefix="0" xfId="0">
      <alignment horizontal="left" vertical="center"/>
    </xf>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styles" Target="styles.xml" Id="rId58" /><Relationship Type="http://schemas.openxmlformats.org/officeDocument/2006/relationships/theme" Target="theme/theme1.xml" Id="rId59"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47</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63"/>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f>"TODAY — "&amp;UPPER(TEXT(TODAY(),"dddd, mmmm d"))&amp;IFERROR(" — TRAINING DAY #"&amp;_xlfn.XLOOKUP(TODAY(),nrCDdate,nrCDnum)&amp;", WEEK "&amp;_xlfn.XLOOKUP(TODAY(),nrCDdate,nrCDweek),"")</f>
        <v/>
      </c>
      <c r="C10" s="8" t="n"/>
      <c r="D10" s="8" t="n"/>
      <c r="E10" s="8" t="n"/>
      <c r="F10" s="8" t="n"/>
      <c r="G10" s="8" t="n"/>
      <c r="H10" s="8" t="n"/>
      <c r="I10" s="8" t="n"/>
      <c r="J10" s="8" t="n"/>
      <c r="K10" s="8" t="n"/>
    </row>
    <row r="11">
      <c r="B11">
        <f>IFERROR(_xlfn._xlws.FILTER(_xlfn.HSTACK(TEXT(nrSCH_Start,"h:mm AM/PM"),TEXT(nrSCH_End,"h:mm AM/PM"),nrSCH_Act,nrSCH_Instr,nrSCH_Loc),nrSCH_Date=TODAY()),"No class scheduled today")</f>
        <v/>
      </c>
    </row>
    <row r="12"/>
    <row r="13"/>
    <row r="14"/>
    <row r="15"/>
    <row r="16"/>
    <row r="17"/>
    <row r="18"/>
    <row r="19">
      <c r="B19" s="4" t="inlineStr">
        <is>
          <t>Separated / total enrolled</t>
        </is>
      </c>
      <c r="C19" s="5" t="n"/>
      <c r="D19" s="4" t="inlineStr">
        <is>
          <t>Class current avg</t>
        </is>
      </c>
      <c r="E19" s="5" t="n"/>
      <c r="F19" s="4" t="inlineStr">
        <is>
          <t>Graduation eligible</t>
        </is>
      </c>
      <c r="G19" s="5" t="n"/>
      <c r="H19" s="4" t="inlineStr">
        <is>
          <t>Flagged cadets</t>
        </is>
      </c>
      <c r="I19" s="5" t="n"/>
      <c r="J19" s="4" t="inlineStr">
        <is>
          <t>Overdue retests</t>
        </is>
      </c>
      <c r="K19" s="5" t="n"/>
    </row>
    <row r="20">
      <c r="B20" s="6">
        <f>SUMPRODUCT((nrCadetStatus="Separated")*1)&amp;" / "&amp;SUMPRODUCT((nrCadetStatus&lt;&gt;"")*1)</f>
        <v/>
      </c>
      <c r="C20" s="5" t="n"/>
      <c r="D20" s="6">
        <f>IFERROR(ROUND(AVERAGE(IF(nrCadetStatus="Active",nrGRcurrent)),1),"—")</f>
        <v/>
      </c>
      <c r="E20" s="5" t="n"/>
      <c r="F20" s="6">
        <f>SUMPRODUCT((nrCadetStatus="Active")*(nrCKgradElig="Yes"))</f>
        <v/>
      </c>
      <c r="G20" s="5" t="n"/>
      <c r="H20" s="6">
        <f>SUMPRODUCT((nrCadetStatus="Active")*(nrFLcount&gt;0))</f>
        <v/>
      </c>
      <c r="I20" s="5" t="n"/>
      <c r="J20" s="6">
        <f>COUNTIF(nrES_RetStat,"OVERDUE")</f>
        <v/>
      </c>
      <c r="K20" s="5" t="n"/>
    </row>
    <row r="21"/>
    <row r="22">
      <c r="B22" s="4" t="inlineStr">
        <is>
          <t>Spelling interventions</t>
        </is>
      </c>
      <c r="C22" s="5" t="n"/>
      <c r="D22" s="4" t="inlineStr">
        <is>
          <t>Makeup owed (cadets)</t>
        </is>
      </c>
      <c r="E22" s="5" t="n"/>
      <c r="F22" s="4" t="inlineStr">
        <is>
          <t>Delivered hours</t>
        </is>
      </c>
      <c r="G22" s="5" t="n"/>
      <c r="H22" s="4" t="inlineStr">
        <is>
          <t>Audit checks failing</t>
        </is>
      </c>
      <c r="I22" s="5" t="n"/>
      <c r="J22" s="4" t="inlineStr">
        <is>
          <t>Days to graduation</t>
        </is>
      </c>
      <c r="K22" s="5" t="n"/>
      <c r="L22" s="4" t="inlineStr">
        <is>
          <t>Cert copies to collect</t>
        </is>
      </c>
      <c r="M22" s="5" t="n"/>
    </row>
    <row r="23">
      <c r="B23" s="6">
        <f>COUNTIF(nrSpellFlag,"INTERVENTION")</f>
        <v/>
      </c>
      <c r="C23" s="5" t="n"/>
      <c r="D23" s="6">
        <f>SUMPRODUCT((nrCadetStatus="Active")*(nrATTmakeupOK="No"))</f>
        <v/>
      </c>
      <c r="E23" s="5" t="n"/>
      <c r="F23" s="6">
        <f>ROUND(N(nrCHtotalDelivered),0)&amp;" / "&amp;cfgRequiredHours</f>
        <v/>
      </c>
      <c r="G23" s="5" t="n"/>
      <c r="H23" s="6">
        <f>SUMPRODUCT((nrAUDstatus&lt;&gt;"OK")*(nrAUDstatus&lt;&gt;""))</f>
        <v/>
      </c>
      <c r="I23" s="5" t="n"/>
      <c r="J23" s="6">
        <f>MAX(0,cfgEndDate-TODAY())</f>
        <v/>
      </c>
      <c r="K23" s="5" t="n"/>
      <c r="L23" s="6">
        <f>SUMPRODUCT((nrCadetStatus="Active")*(nrCERTmissing&lt;&gt;""))</f>
        <v/>
      </c>
      <c r="M23" s="5" t="n"/>
    </row>
    <row r="24"/>
    <row r="25" ht="16" customHeight="1">
      <c r="B25" s="9" t="inlineStr">
        <is>
          <t>Watch list — highest flag counts first (full list on WatchList)</t>
        </is>
      </c>
      <c r="C25" s="8" t="n"/>
      <c r="D25" s="8" t="n"/>
      <c r="E25" s="8" t="n"/>
      <c r="F25" s="8" t="n"/>
      <c r="G25" s="8" t="n"/>
      <c r="H25" s="8" t="n"/>
      <c r="I25" s="8" t="n"/>
      <c r="J25" s="8" t="n"/>
      <c r="K25" s="8" t="n"/>
    </row>
    <row r="26">
      <c r="B26">
        <f>IFERROR(_xlfn.SORTBY(_xlfn._xlws.FILTER(_xlfn.HSTACK(rngCadetNames,nrCadetAgency,nrFLcount,nrFLreasons),(nrFLcount&gt;0)*(nrCadetStatus="Active")),_xlfn._xlws.FILTER(nrFLcount,(nrFLcount&gt;0)*(nrCadetStatus="Active")),-1),"No flags — clear")</f>
        <v/>
      </c>
    </row>
    <row r="27"/>
    <row r="28"/>
    <row r="29"/>
    <row r="30"/>
    <row r="31"/>
    <row r="32"/>
    <row r="33"/>
    <row r="34"/>
    <row r="35"/>
    <row r="36"/>
    <row r="37" ht="16" customHeight="1">
      <c r="B37" s="9" t="inlineStr">
        <is>
          <t>Certification reminders — copies to collect from cadets (Certifications sheet)</t>
        </is>
      </c>
      <c r="C37" s="8" t="n"/>
      <c r="D37" s="8" t="n"/>
      <c r="E37" s="8" t="n"/>
      <c r="F37" s="8" t="n"/>
      <c r="G37" s="8" t="n"/>
      <c r="H37" s="8" t="n"/>
      <c r="I37" s="8" t="n"/>
      <c r="J37" s="8" t="n"/>
      <c r="K37" s="8" t="n"/>
    </row>
    <row r="38">
      <c r="B38">
        <f>IFERROR(_xlfn._xlws.FILTER(_xlfn.HSTACK(rngCadetNames,nrCadetAgency,nrCERTmissing),(nrCERTmissing&lt;&gt;"")*(nrCadetStatus="Active")),"All certification copies collected")</f>
        <v/>
      </c>
    </row>
    <row r="39"/>
    <row r="40"/>
    <row r="41"/>
    <row r="42"/>
    <row r="43"/>
    <row r="44"/>
    <row r="45"/>
    <row r="46"/>
    <row r="47" ht="16" customHeight="1">
      <c r="B47" s="9" t="inlineStr">
        <is>
          <t>Class average by exam</t>
        </is>
      </c>
      <c r="C47" s="8" t="n"/>
      <c r="D47" s="8" t="n"/>
      <c r="E47" s="8" t="n"/>
      <c r="F47" s="8" t="n"/>
      <c r="G47" s="8" t="n"/>
      <c r="H47" s="8" t="n"/>
      <c r="I47" s="8" t="n"/>
      <c r="J47" s="8" t="n"/>
      <c r="K47" s="8" t="n"/>
    </row>
    <row r="48"/>
    <row r="49"/>
    <row r="50"/>
    <row r="51"/>
    <row r="52"/>
    <row r="53"/>
    <row r="54"/>
    <row r="55"/>
    <row r="56"/>
    <row r="57"/>
    <row r="58"/>
    <row r="59"/>
    <row r="60"/>
    <row r="61"/>
    <row r="62"/>
    <row r="63" ht="16" customHeight="1">
      <c r="B63" s="9" t="inlineStr">
        <is>
          <t>Spelling class average by test</t>
        </is>
      </c>
      <c r="C63" s="8" t="n"/>
      <c r="D63" s="8" t="n"/>
      <c r="E63" s="8" t="n"/>
      <c r="F63" s="8" t="n"/>
      <c r="G63" s="8" t="n"/>
      <c r="H63" s="8" t="n"/>
      <c r="I63" s="8" t="n"/>
      <c r="J63" s="8" t="n"/>
      <c r="K63" s="8" t="n"/>
    </row>
  </sheetData>
  <mergeCells count="36">
    <mergeCell ref="D20:E20"/>
    <mergeCell ref="H20:I20"/>
    <mergeCell ref="B7:C7"/>
    <mergeCell ref="D19:E19"/>
    <mergeCell ref="F19:G19"/>
    <mergeCell ref="J19:K19"/>
    <mergeCell ref="B22:C22"/>
    <mergeCell ref="D22:E22"/>
    <mergeCell ref="F7:G7"/>
    <mergeCell ref="B63:K63"/>
    <mergeCell ref="J23:K23"/>
    <mergeCell ref="F20:G20"/>
    <mergeCell ref="B23:C23"/>
    <mergeCell ref="B25:K25"/>
    <mergeCell ref="L23:M23"/>
    <mergeCell ref="B47:K47"/>
    <mergeCell ref="B8:C8"/>
    <mergeCell ref="F8:G8"/>
    <mergeCell ref="J20:K20"/>
    <mergeCell ref="D7:E7"/>
    <mergeCell ref="H7:I7"/>
    <mergeCell ref="B19:C19"/>
    <mergeCell ref="J7:K7"/>
    <mergeCell ref="F23:G23"/>
    <mergeCell ref="H19:I19"/>
    <mergeCell ref="F22:G22"/>
    <mergeCell ref="H22:I22"/>
    <mergeCell ref="J22:K22"/>
    <mergeCell ref="L22:M22"/>
    <mergeCell ref="D8:E8"/>
    <mergeCell ref="B20:C20"/>
    <mergeCell ref="D23:E23"/>
    <mergeCell ref="H23:I23"/>
    <mergeCell ref="H8:I8"/>
    <mergeCell ref="J8:K8"/>
    <mergeCell ref="B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39"/>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9"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9"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t>
        </is>
      </c>
    </row>
    <row r="30" ht="26" customHeight="1">
      <c r="B30" s="3">
        <f>HYPERLINK("#PT!B6","PT")</f>
        <v/>
      </c>
      <c r="C30" s="13" t="inlineStr">
        <is>
          <t>Baseline and final raw values per event; final points once the rubric arrives.</t>
        </is>
      </c>
    </row>
    <row r="31" ht="26" customHeight="1">
      <c r="B31" s="3">
        <f>HYPERLINK("#Medical!B6","Medical")</f>
        <v/>
      </c>
      <c r="C31" s="13" t="inlineStr">
        <is>
          <t>Injuries, restrictions, clearances and expirations.</t>
        </is>
      </c>
    </row>
    <row r="32" ht="26" customHeight="1">
      <c r="B32" s="3">
        <f>HYPERLINK("#Certifications!B6","Certifications")</f>
        <v/>
      </c>
      <c r="C32" s="13" t="inlineStr">
        <is>
          <t>Per-cadet TIM/SFST/TCIC/CPR/ALERRT/ICS completion dates and certificate copies collected.</t>
        </is>
      </c>
    </row>
    <row r="33" ht="26" customHeight="1">
      <c r="B33" s="3">
        <f>HYPERLINK("#StateExam!B6","StateExam")</f>
        <v/>
      </c>
      <c r="C33" s="13" t="inlineStr">
        <is>
          <t>TCOLE licensing exam attempts and results (3 max).</t>
        </is>
      </c>
    </row>
    <row r="34" ht="26" customHeight="1">
      <c r="B34" s="3">
        <f>HYPERLINK("#DismissalLog!B6","DismissalLog")</f>
        <v/>
      </c>
      <c r="C34" s="13" t="inlineStr">
        <is>
          <t>Formal reviews: trigger, decision, approvals.</t>
        </is>
      </c>
    </row>
    <row r="35" ht="16" customHeight="1">
      <c r="B35" s="9" t="inlineStr">
        <is>
          <t>End of academy / as needed</t>
        </is>
      </c>
      <c r="C35" s="8" t="n"/>
      <c r="D35" s="8" t="n"/>
      <c r="E35" s="8" t="n"/>
      <c r="F35" s="8" t="n"/>
      <c r="G35" s="8" t="n"/>
      <c r="H35" s="8" t="n"/>
    </row>
    <row r="36" ht="26" customHeight="1">
      <c r="B36" s="3">
        <f>HYPERLINK("#Audit!B6","Audit")</f>
        <v/>
      </c>
      <c r="C36" s="13" t="inlineStr">
        <is>
          <t>Program-requirement checklist answers + per-cadet enrollment documents grid.</t>
        </is>
      </c>
    </row>
    <row r="37" ht="26" customHeight="1">
      <c r="B37" s="3">
        <f>HYPERLINK("#EmailPreview!B6","EmailPreview")</f>
        <v/>
      </c>
      <c r="C37" s="13" t="inlineStr">
        <is>
          <t>Pick an agency to preview its email; the button builds Outlook drafts.</t>
        </is>
      </c>
    </row>
    <row r="38" ht="26" customHeight="1">
      <c r="B38" s="3">
        <f>HYPERLINK("#sysAwards!B6","sysAwards")</f>
        <v/>
      </c>
      <c r="C38" s="13" t="inlineStr">
        <is>
          <t>Award override cells — your pick always wins.</t>
        </is>
      </c>
    </row>
    <row r="39" ht="26" customHeight="1">
      <c r="B39" s="3">
        <f>HYPERLINK("#PrintCenter!B6","PrintCenter")</f>
        <v/>
      </c>
      <c r="C39" s="13" t="inlineStr">
        <is>
          <t>Every printable in one place (buttons after VBA install).</t>
        </is>
      </c>
    </row>
  </sheetData>
  <mergeCells count="34">
    <mergeCell ref="C25:H25"/>
    <mergeCell ref="C10:H10"/>
    <mergeCell ref="C16:H16"/>
    <mergeCell ref="C22:H22"/>
    <mergeCell ref="C9:H9"/>
    <mergeCell ref="C31:H31"/>
    <mergeCell ref="B6:H6"/>
    <mergeCell ref="C12:H12"/>
    <mergeCell ref="B20:H20"/>
    <mergeCell ref="C21:H21"/>
    <mergeCell ref="C11:H11"/>
    <mergeCell ref="C36:H36"/>
    <mergeCell ref="C27:H27"/>
    <mergeCell ref="B35:H35"/>
    <mergeCell ref="C23:H23"/>
    <mergeCell ref="C39:H39"/>
    <mergeCell ref="C8:H8"/>
    <mergeCell ref="C17:H17"/>
    <mergeCell ref="C7:H7"/>
    <mergeCell ref="C32:H32"/>
    <mergeCell ref="C38:H38"/>
    <mergeCell ref="C19:H19"/>
    <mergeCell ref="C28:H28"/>
    <mergeCell ref="C13:H13"/>
    <mergeCell ref="C37:H37"/>
    <mergeCell ref="C18:H18"/>
    <mergeCell ref="C34:H34"/>
    <mergeCell ref="C30:H30"/>
    <mergeCell ref="C15:H15"/>
    <mergeCell ref="C33:H33"/>
    <mergeCell ref="C24:H24"/>
    <mergeCell ref="C14:H14"/>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2"/>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sign-in sheet</t>
        </is>
      </c>
      <c r="C8" s="14" t="inlineStr">
        <is>
          <t>Set the date on SignIn (or here)</t>
        </is>
      </c>
      <c r="D8" s="14" t="inlineStr">
        <is>
          <t>SignIn</t>
        </is>
      </c>
      <c r="E8" s="2" t="inlineStr">
        <is>
          <t>btnPrintSignIn</t>
        </is>
      </c>
    </row>
    <row r="9" ht="20" customHeight="1">
      <c r="B9" s="3" t="inlineStr">
        <is>
          <t>Course critique stack</t>
        </is>
      </c>
      <c r="C9" s="14" t="inlineStr">
        <is>
          <t>Set chapter on EvalSheet; prints one per active cadet</t>
        </is>
      </c>
      <c r="D9" s="14" t="inlineStr">
        <is>
          <t>EvalSheet</t>
        </is>
      </c>
      <c r="E9" s="2" t="inlineStr">
        <is>
          <t>btnPrintEvals</t>
        </is>
      </c>
    </row>
    <row r="10" ht="20" customHeight="1">
      <c r="B10" s="3" t="inlineStr">
        <is>
          <t>Spelling test / key</t>
        </is>
      </c>
      <c r="C10" s="14" t="inlineStr">
        <is>
          <t>Set test # and mode on SpellingPrint</t>
        </is>
      </c>
      <c r="D10" s="14" t="inlineStr">
        <is>
          <t>SpellingPrint</t>
        </is>
      </c>
      <c r="E10" s="2" t="inlineStr">
        <is>
          <t>btnPrintSpelling</t>
        </is>
      </c>
    </row>
    <row r="11" ht="20" customHeight="1">
      <c r="B11" s="3" t="inlineStr">
        <is>
          <t>Writing handout (week)</t>
        </is>
      </c>
      <c r="C11" s="14" t="inlineStr">
        <is>
          <t>Set week # on WritingHandout</t>
        </is>
      </c>
      <c r="D11" s="14" t="inlineStr">
        <is>
          <t>WritingHandout</t>
        </is>
      </c>
      <c r="E11" s="2" t="inlineStr">
        <is>
          <t>btnPrintWriting</t>
        </is>
      </c>
    </row>
    <row r="12" ht="20" customHeight="1">
      <c r="B12" s="3" t="inlineStr">
        <is>
          <t>Cadet profile</t>
        </is>
      </c>
      <c r="C12" s="14" t="inlineStr">
        <is>
          <t>Set cadet on CadetProfile</t>
        </is>
      </c>
      <c r="D12" s="14" t="inlineStr">
        <is>
          <t>CadetProfile</t>
        </is>
      </c>
      <c r="E12" s="2" t="inlineStr">
        <is>
          <t>btnPrintProfile</t>
        </is>
      </c>
    </row>
    <row r="13" ht="20" customHeight="1">
      <c r="B13" s="3" t="inlineStr">
        <is>
          <t>Transcript</t>
        </is>
      </c>
      <c r="C13" s="14" t="inlineStr">
        <is>
          <t>Set cadet on Transcript (button can run all cadets)</t>
        </is>
      </c>
      <c r="D13" s="14" t="inlineStr">
        <is>
          <t>Transcript</t>
        </is>
      </c>
      <c r="E13" s="2" t="inlineStr">
        <is>
          <t>btnPrintTranscript</t>
        </is>
      </c>
    </row>
    <row r="14" ht="20" customHeight="1">
      <c r="B14" s="3" t="inlineStr">
        <is>
          <t>Class ranking</t>
        </is>
      </c>
      <c r="C14" s="14" t="inlineStr">
        <is>
          <t>Prints as-is</t>
        </is>
      </c>
      <c r="D14" s="14" t="inlineStr">
        <is>
          <t>Ranking</t>
        </is>
      </c>
      <c r="E14" s="2" t="inlineStr">
        <is>
          <t>btnPrintRanking</t>
        </is>
      </c>
    </row>
    <row r="15" ht="20" customHeight="1">
      <c r="B15" s="3" t="inlineStr">
        <is>
          <t>Graduation checklist</t>
        </is>
      </c>
      <c r="C15" s="14" t="inlineStr">
        <is>
          <t>Prints as-is</t>
        </is>
      </c>
      <c r="D15" s="14" t="inlineStr">
        <is>
          <t>GradChecklist</t>
        </is>
      </c>
      <c r="E15" s="2" t="inlineStr">
        <is>
          <t>btnPrintGradCheck</t>
        </is>
      </c>
    </row>
    <row r="16" ht="20" customHeight="1">
      <c r="B16" s="3" t="inlineStr">
        <is>
          <t>Audit packet</t>
        </is>
      </c>
      <c r="C16" s="14" t="inlineStr">
        <is>
          <t>Program checks + enrollment docs</t>
        </is>
      </c>
      <c r="D16" s="14" t="inlineStr">
        <is>
          <t>Audit</t>
        </is>
      </c>
      <c r="E16" s="2" t="inlineStr">
        <is>
          <t>btnPrintAudit</t>
        </is>
      </c>
    </row>
    <row r="17" ht="20" customHeight="1">
      <c r="B17" s="3" t="inlineStr">
        <is>
          <t>Chapter packet</t>
        </is>
      </c>
      <c r="C17" s="14" t="inlineStr">
        <is>
          <t>Set chapter on ChapterPacket — the full training-file page for the auditor</t>
        </is>
      </c>
      <c r="D17" s="14" t="inlineStr">
        <is>
          <t>ChapterPacket</t>
        </is>
      </c>
      <c r="E17" s="2" t="inlineStr">
        <is>
          <t>btnPrintChapterPacket</t>
        </is>
      </c>
    </row>
    <row r="18" ht="20" customHeight="1">
      <c r="B18" s="3" t="inlineStr">
        <is>
          <t>Exam grade sheet</t>
        </is>
      </c>
      <c r="C18" s="14" t="inlineStr">
        <is>
          <t>Set exam # on ExamSheet — the IRG-required grade sheet per assessment</t>
        </is>
      </c>
      <c r="D18" s="14" t="inlineStr">
        <is>
          <t>ExamSheet</t>
        </is>
      </c>
      <c r="E18" s="2" t="inlineStr">
        <is>
          <t>btnPrintGradeSheet</t>
        </is>
      </c>
    </row>
    <row r="19" ht="20" customHeight="1">
      <c r="B19" s="3" t="inlineStr">
        <is>
          <t>Addendum (excess hours)</t>
        </is>
      </c>
      <c r="C19" s="14" t="inlineStr">
        <is>
          <t>Per-class excess vs TCOLE minimum with reporting course #s (#101 / #2040 / #2046 / #2055)</t>
        </is>
      </c>
      <c r="D19" s="14" t="inlineStr">
        <is>
          <t>Addendum</t>
        </is>
      </c>
      <c r="E19" s="2" t="inlineStr">
        <is>
          <t>btnPrintAddendum</t>
        </is>
      </c>
    </row>
    <row r="20" ht="20" customHeight="1">
      <c r="B20" s="3" t="inlineStr">
        <is>
          <t>Schedule</t>
        </is>
      </c>
      <c r="C20" s="14" t="inlineStr">
        <is>
          <t>Full schedule listing</t>
        </is>
      </c>
      <c r="D20" s="14" t="inlineStr">
        <is>
          <t>Schedule</t>
        </is>
      </c>
      <c r="E20" s="2" t="inlineStr">
        <is>
          <t>btnPrintSchedule</t>
        </is>
      </c>
    </row>
    <row r="21"/>
    <row r="22" ht="30" customHeight="1">
      <c r="B22" s="15" t="inlineStr">
        <is>
          <t>Buttons are added by the VBA install (see docs/Setup). Each button prints its sheet's defined print area to the default printer; Ctrl+P on the sheet does the same thing manually.</t>
        </is>
      </c>
    </row>
  </sheetData>
  <mergeCells count="1">
    <mergeCell ref="B22:F22"/>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IF($Q6&lt;&gt;"Yes","",IF(COUNTIFS(nrES_PID,$D6,nrES_Code,$F6,nrES_Att,2)&gt;0,"Retested",IF(OR($T6="",NOT(ISNUMBER($T6))),"Pending",IF(TODAY()&gt;$T6,"OVERDUE","Due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IF($Q7&lt;&gt;"Yes","",IF(COUNTIFS(nrES_PID,$D7,nrES_Code,$F7,nrES_Att,2)&gt;0,"Retested",IF(OR($T7="",NOT(ISNUMBER($T7))),"Pending",IF(TODAY()&gt;$T7,"OVERDUE","Due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IF($Q8&lt;&gt;"Yes","",IF(COUNTIFS(nrES_PID,$D8,nrES_Code,$F8,nrES_Att,2)&gt;0,"Retested",IF(OR($T8="",NOT(ISNUMBER($T8))),"Pending",IF(TODAY()&gt;$T8,"OVERDUE","Due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IF($Q9&lt;&gt;"Yes","",IF(COUNTIFS(nrES_PID,$D9,nrES_Code,$F9,nrES_Att,2)&gt;0,"Retested",IF(OR($T9="",NOT(ISNUMBER($T9))),"Pending",IF(TODAY()&gt;$T9,"OVERDUE","Due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IF($Q10&lt;&gt;"Yes","",IF(COUNTIFS(nrES_PID,$D10,nrES_Code,$F10,nrES_Att,2)&gt;0,"Retested",IF(OR($T10="",NOT(ISNUMBER($T10))),"Pending",IF(TODAY()&gt;$T10,"OVERDUE","Due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IF($Q11&lt;&gt;"Yes","",IF(COUNTIFS(nrES_PID,$D11,nrES_Code,$F11,nrES_Att,2)&gt;0,"Retested",IF(OR($T11="",NOT(ISNUMBER($T11))),"Pending",IF(TODAY()&gt;$T11,"OVERDUE","Due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IF($Q12&lt;&gt;"Yes","",IF(COUNTIFS(nrES_PID,$D12,nrES_Code,$F12,nrES_Att,2)&gt;0,"Retested",IF(OR($T12="",NOT(ISNUMBER($T12))),"Pending",IF(TODAY()&gt;$T12,"OVERDUE","Due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IF($Q13&lt;&gt;"Yes","",IF(COUNTIFS(nrES_PID,$D13,nrES_Code,$F13,nrES_Att,2)&gt;0,"Retested",IF(OR($T13="",NOT(ISNUMBER($T13))),"Pending",IF(TODAY()&gt;$T13,"OVERDUE","Due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IF($Q14&lt;&gt;"Yes","",IF(COUNTIFS(nrES_PID,$D14,nrES_Code,$F14,nrES_Att,2)&gt;0,"Retested",IF(OR($T14="",NOT(ISNUMBER($T14))),"Pending",IF(TODAY()&gt;$T14,"OVERDUE","Due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IF($Q15&lt;&gt;"Yes","",IF(COUNTIFS(nrES_PID,$D15,nrES_Code,$F15,nrES_Att,2)&gt;0,"Retested",IF(OR($T15="",NOT(ISNUMBER($T15))),"Pending",IF(TODAY()&gt;$T15,"OVERDUE","Due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IF($Q16&lt;&gt;"Yes","",IF(COUNTIFS(nrES_PID,$D16,nrES_Code,$F16,nrES_Att,2)&gt;0,"Retested",IF(OR($T16="",NOT(ISNUMBER($T16))),"Pending",IF(TODAY()&gt;$T16,"OVERDUE","Due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IF($Q17&lt;&gt;"Yes","",IF(COUNTIFS(nrES_PID,$D17,nrES_Code,$F17,nrES_Att,2)&gt;0,"Retested",IF(OR($T17="",NOT(ISNUMBER($T17))),"Pending",IF(TODAY()&gt;$T17,"OVERDUE","Due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IF($Q18&lt;&gt;"Yes","",IF(COUNTIFS(nrES_PID,$D18,nrES_Code,$F18,nrES_Att,2)&gt;0,"Retested",IF(OR($T18="",NOT(ISNUMBER($T18))),"Pending",IF(TODAY()&gt;$T18,"OVERDUE","Due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IF($Q19&lt;&gt;"Yes","",IF(COUNTIFS(nrES_PID,$D19,nrES_Code,$F19,nrES_Att,2)&gt;0,"Retested",IF(OR($T19="",NOT(ISNUMBER($T19))),"Pending",IF(TODAY()&gt;$T19,"OVERDUE","Due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IF($Q20&lt;&gt;"Yes","",IF(COUNTIFS(nrES_PID,$D20,nrES_Code,$F20,nrES_Att,2)&gt;0,"Retested",IF(OR($T20="",NOT(ISNUMBER($T20))),"Pending",IF(TODAY()&gt;$T20,"OVERDUE","Due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IF($Q21&lt;&gt;"Yes","",IF(COUNTIFS(nrES_PID,$D21,nrES_Code,$F21,nrES_Att,2)&gt;0,"Retested",IF(OR($T21="",NOT(ISNUMBER($T21))),"Pending",IF(TODAY()&gt;$T21,"OVERDUE","Due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IF($Q22&lt;&gt;"Yes","",IF(COUNTIFS(nrES_PID,$D22,nrES_Code,$F22,nrES_Att,2)&gt;0,"Retested",IF(OR($T22="",NOT(ISNUMBER($T22))),"Pending",IF(TODAY()&gt;$T22,"OVERDUE","Due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IF($Q23&lt;&gt;"Yes","",IF(COUNTIFS(nrES_PID,$D23,nrES_Code,$F23,nrES_Att,2)&gt;0,"Retested",IF(OR($T23="",NOT(ISNUMBER($T23))),"Pending",IF(TODAY()&gt;$T23,"OVERDUE","Due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IF($Q24&lt;&gt;"Yes","",IF(COUNTIFS(nrES_PID,$D24,nrES_Code,$F24,nrES_Att,2)&gt;0,"Retested",IF(OR($T24="",NOT(ISNUMBER($T24))),"Pending",IF(TODAY()&gt;$T24,"OVERDUE","Due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IF($Q25&lt;&gt;"Yes","",IF(COUNTIFS(nrES_PID,$D25,nrES_Code,$F25,nrES_Att,2)&gt;0,"Retested",IF(OR($T25="",NOT(ISNUMBER($T25))),"Pending",IF(TODAY()&gt;$T25,"OVERDUE","Due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IF($Q26&lt;&gt;"Yes","",IF(COUNTIFS(nrES_PID,$D26,nrES_Code,$F26,nrES_Att,2)&gt;0,"Retested",IF(OR($T26="",NOT(ISNUMBER($T26))),"Pending",IF(TODAY()&gt;$T26,"OVERDUE","Due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IF($Q27&lt;&gt;"Yes","",IF(COUNTIFS(nrES_PID,$D27,nrES_Code,$F27,nrES_Att,2)&gt;0,"Retested",IF(OR($T27="",NOT(ISNUMBER($T27))),"Pending",IF(TODAY()&gt;$T27,"OVERDUE","Due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IF($Q28&lt;&gt;"Yes","",IF(COUNTIFS(nrES_PID,$D28,nrES_Code,$F28,nrES_Att,2)&gt;0,"Retested",IF(OR($T28="",NOT(ISNUMBER($T28))),"Pending",IF(TODAY()&gt;$T28,"OVERDUE","Due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IF($Q29&lt;&gt;"Yes","",IF(COUNTIFS(nrES_PID,$D29,nrES_Code,$F29,nrES_Att,2)&gt;0,"Retested",IF(OR($T29="",NOT(ISNUMBER($T29))),"Pending",IF(TODAY()&gt;$T29,"OVERDUE","Due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IF($Q30&lt;&gt;"Yes","",IF(COUNTIFS(nrES_PID,$D30,nrES_Code,$F30,nrES_Att,2)&gt;0,"Retested",IF(OR($T30="",NOT(ISNUMBER($T30))),"Pending",IF(TODAY()&gt;$T30,"OVERDUE","Due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IF($Q31&lt;&gt;"Yes","",IF(COUNTIFS(nrES_PID,$D31,nrES_Code,$F31,nrES_Att,2)&gt;0,"Retested",IF(OR($T31="",NOT(ISNUMBER($T31))),"Pending",IF(TODAY()&gt;$T31,"OVERDUE","Due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IF($Q32&lt;&gt;"Yes","",IF(COUNTIFS(nrES_PID,$D32,nrES_Code,$F32,nrES_Att,2)&gt;0,"Retested",IF(OR($T32="",NOT(ISNUMBER($T32))),"Pending",IF(TODAY()&gt;$T32,"OVERDUE","Due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IF($Q33&lt;&gt;"Yes","",IF(COUNTIFS(nrES_PID,$D33,nrES_Code,$F33,nrES_Att,2)&gt;0,"Retested",IF(OR($T33="",NOT(ISNUMBER($T33))),"Pending",IF(TODAY()&gt;$T33,"OVERDUE","Due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IF($Q34&lt;&gt;"Yes","",IF(COUNTIFS(nrES_PID,$D34,nrES_Code,$F34,nrES_Att,2)&gt;0,"Retested",IF(OR($T34="",NOT(ISNUMBER($T34))),"Pending",IF(TODAY()&gt;$T34,"OVERDUE","Due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IF($Q35&lt;&gt;"Yes","",IF(COUNTIFS(nrES_PID,$D35,nrES_Code,$F35,nrES_Att,2)&gt;0,"Retested",IF(OR($T35="",NOT(ISNUMBER($T35))),"Pending",IF(TODAY()&gt;$T35,"OVERDUE","Due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IF($Q36&lt;&gt;"Yes","",IF(COUNTIFS(nrES_PID,$D36,nrES_Code,$F36,nrES_Att,2)&gt;0,"Retested",IF(OR($T36="",NOT(ISNUMBER($T36))),"Pending",IF(TODAY()&gt;$T36,"OVERDUE","Due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IF($Q37&lt;&gt;"Yes","",IF(COUNTIFS(nrES_PID,$D37,nrES_Code,$F37,nrES_Att,2)&gt;0,"Retested",IF(OR($T37="",NOT(ISNUMBER($T37))),"Pending",IF(TODAY()&gt;$T37,"OVERDUE","Due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IF($Q38&lt;&gt;"Yes","",IF(COUNTIFS(nrES_PID,$D38,nrES_Code,$F38,nrES_Att,2)&gt;0,"Retested",IF(OR($T38="",NOT(ISNUMBER($T38))),"Pending",IF(TODAY()&gt;$T38,"OVERDUE","Due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IF($Q39&lt;&gt;"Yes","",IF(COUNTIFS(nrES_PID,$D39,nrES_Code,$F39,nrES_Att,2)&gt;0,"Retested",IF(OR($T39="",NOT(ISNUMBER($T39))),"Pending",IF(TODAY()&gt;$T39,"OVERDUE","Due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IF($Q40&lt;&gt;"Yes","",IF(COUNTIFS(nrES_PID,$D40,nrES_Code,$F40,nrES_Att,2)&gt;0,"Retested",IF(OR($T40="",NOT(ISNUMBER($T40))),"Pending",IF(TODAY()&gt;$T40,"OVERDUE","Due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IF($Q41&lt;&gt;"Yes","",IF(COUNTIFS(nrES_PID,$D41,nrES_Code,$F41,nrES_Att,2)&gt;0,"Retested",IF(OR($T41="",NOT(ISNUMBER($T41))),"Pending",IF(TODAY()&gt;$T41,"OVERDUE","Due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IF($Q42&lt;&gt;"Yes","",IF(COUNTIFS(nrES_PID,$D42,nrES_Code,$F42,nrES_Att,2)&gt;0,"Retested",IF(OR($T42="",NOT(ISNUMBER($T42))),"Pending",IF(TODAY()&gt;$T42,"OVERDUE","Due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IF($Q43&lt;&gt;"Yes","",IF(COUNTIFS(nrES_PID,$D43,nrES_Code,$F43,nrES_Att,2)&gt;0,"Retested",IF(OR($T43="",NOT(ISNUMBER($T43))),"Pending",IF(TODAY()&gt;$T43,"OVERDUE","Due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IF($Q44&lt;&gt;"Yes","",IF(COUNTIFS(nrES_PID,$D44,nrES_Code,$F44,nrES_Att,2)&gt;0,"Retested",IF(OR($T44="",NOT(ISNUMBER($T44))),"Pending",IF(TODAY()&gt;$T44,"OVERDUE","Due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IF($Q45&lt;&gt;"Yes","",IF(COUNTIFS(nrES_PID,$D45,nrES_Code,$F45,nrES_Att,2)&gt;0,"Retested",IF(OR($T45="",NOT(ISNUMBER($T45))),"Pending",IF(TODAY()&gt;$T45,"OVERDUE","Due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IF($Q46&lt;&gt;"Yes","",IF(COUNTIFS(nrES_PID,$D46,nrES_Code,$F46,nrES_Att,2)&gt;0,"Retested",IF(OR($T46="",NOT(ISNUMBER($T46))),"Pending",IF(TODAY()&gt;$T46,"OVERDUE","Due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IF($Q47&lt;&gt;"Yes","",IF(COUNTIFS(nrES_PID,$D47,nrES_Code,$F47,nrES_Att,2)&gt;0,"Retested",IF(OR($T47="",NOT(ISNUMBER($T47))),"Pending",IF(TODAY()&gt;$T47,"OVERDUE","Due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IF($Q48&lt;&gt;"Yes","",IF(COUNTIFS(nrES_PID,$D48,nrES_Code,$F48,nrES_Att,2)&gt;0,"Retested",IF(OR($T48="",NOT(ISNUMBER($T48))),"Pending",IF(TODAY()&gt;$T48,"OVERDUE","Due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IF($Q49&lt;&gt;"Yes","",IF(COUNTIFS(nrES_PID,$D49,nrES_Code,$F49,nrES_Att,2)&gt;0,"Retested",IF(OR($T49="",NOT(ISNUMBER($T49))),"Pending",IF(TODAY()&gt;$T49,"OVERDUE","Due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IF($Q50&lt;&gt;"Yes","",IF(COUNTIFS(nrES_PID,$D50,nrES_Code,$F50,nrES_Att,2)&gt;0,"Retested",IF(OR($T50="",NOT(ISNUMBER($T50))),"Pending",IF(TODAY()&gt;$T50,"OVERDUE","Due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IF($Q51&lt;&gt;"Yes","",IF(COUNTIFS(nrES_PID,$D51,nrES_Code,$F51,nrES_Att,2)&gt;0,"Retested",IF(OR($T51="",NOT(ISNUMBER($T51))),"Pending",IF(TODAY()&gt;$T51,"OVERDUE","Due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IF($Q52&lt;&gt;"Yes","",IF(COUNTIFS(nrES_PID,$D52,nrES_Code,$F52,nrES_Att,2)&gt;0,"Retested",IF(OR($T52="",NOT(ISNUMBER($T52))),"Pending",IF(TODAY()&gt;$T52,"OVERDUE","Due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IF($Q53&lt;&gt;"Yes","",IF(COUNTIFS(nrES_PID,$D53,nrES_Code,$F53,nrES_Att,2)&gt;0,"Retested",IF(OR($T53="",NOT(ISNUMBER($T53))),"Pending",IF(TODAY()&gt;$T53,"OVERDUE","Due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IF($Q54&lt;&gt;"Yes","",IF(COUNTIFS(nrES_PID,$D54,nrES_Code,$F54,nrES_Att,2)&gt;0,"Retested",IF(OR($T54="",NOT(ISNUMBER($T54))),"Pending",IF(TODAY()&gt;$T54,"OVERDUE","Due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IF($Q55&lt;&gt;"Yes","",IF(COUNTIFS(nrES_PID,$D55,nrES_Code,$F55,nrES_Att,2)&gt;0,"Retested",IF(OR($T55="",NOT(ISNUMBER($T55))),"Pending",IF(TODAY()&gt;$T55,"OVERDUE","Due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IF($Q56&lt;&gt;"Yes","",IF(COUNTIFS(nrES_PID,$D56,nrES_Code,$F56,nrES_Att,2)&gt;0,"Retested",IF(OR($T56="",NOT(ISNUMBER($T56))),"Pending",IF(TODAY()&gt;$T56,"OVERDUE","Due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IF($Q57&lt;&gt;"Yes","",IF(COUNTIFS(nrES_PID,$D57,nrES_Code,$F57,nrES_Att,2)&gt;0,"Retested",IF(OR($T57="",NOT(ISNUMBER($T57))),"Pending",IF(TODAY()&gt;$T57,"OVERDUE","Due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IF($Q58&lt;&gt;"Yes","",IF(COUNTIFS(nrES_PID,$D58,nrES_Code,$F58,nrES_Att,2)&gt;0,"Retested",IF(OR($T58="",NOT(ISNUMBER($T58))),"Pending",IF(TODAY()&gt;$T58,"OVERDUE","Due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IF($Q59&lt;&gt;"Yes","",IF(COUNTIFS(nrES_PID,$D59,nrES_Code,$F59,nrES_Att,2)&gt;0,"Retested",IF(OR($T59="",NOT(ISNUMBER($T59))),"Pending",IF(TODAY()&gt;$T59,"OVERDUE","Due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IF($Q60&lt;&gt;"Yes","",IF(COUNTIFS(nrES_PID,$D60,nrES_Code,$F60,nrES_Att,2)&gt;0,"Retested",IF(OR($T60="",NOT(ISNUMBER($T60))),"Pending",IF(TODAY()&gt;$T60,"OVERDUE","Due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IF($Q61&lt;&gt;"Yes","",IF(COUNTIFS(nrES_PID,$D61,nrES_Code,$F61,nrES_Att,2)&gt;0,"Retested",IF(OR($T61="",NOT(ISNUMBER($T61))),"Pending",IF(TODAY()&gt;$T61,"OVERDUE","Due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IF($Q62&lt;&gt;"Yes","",IF(COUNTIFS(nrES_PID,$D62,nrES_Code,$F62,nrES_Att,2)&gt;0,"Retested",IF(OR($T62="",NOT(ISNUMBER($T62))),"Pending",IF(TODAY()&gt;$T62,"OVERDUE","Due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IF($Q63&lt;&gt;"Yes","",IF(COUNTIFS(nrES_PID,$D63,nrES_Code,$F63,nrES_Att,2)&gt;0,"Retested",IF(OR($T63="",NOT(ISNUMBER($T63))),"Pending",IF(TODAY()&gt;$T63,"OVERDUE","Due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IF($Q64&lt;&gt;"Yes","",IF(COUNTIFS(nrES_PID,$D64,nrES_Code,$F64,nrES_Att,2)&gt;0,"Retested",IF(OR($T64="",NOT(ISNUMBER($T64))),"Pending",IF(TODAY()&gt;$T64,"OVERDUE","Due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IF($Q65&lt;&gt;"Yes","",IF(COUNTIFS(nrES_PID,$D65,nrES_Code,$F65,nrES_Att,2)&gt;0,"Retested",IF(OR($T65="",NOT(ISNUMBER($T65))),"Pending",IF(TODAY()&gt;$T65,"OVERDUE","Due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IF($Q66&lt;&gt;"Yes","",IF(COUNTIFS(nrES_PID,$D66,nrES_Code,$F66,nrES_Att,2)&gt;0,"Retested",IF(OR($T66="",NOT(ISNUMBER($T66))),"Pending",IF(TODAY()&gt;$T66,"OVERDUE","Due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IF($Q67&lt;&gt;"Yes","",IF(COUNTIFS(nrES_PID,$D67,nrES_Code,$F67,nrES_Att,2)&gt;0,"Retested",IF(OR($T67="",NOT(ISNUMBER($T67))),"Pending",IF(TODAY()&gt;$T67,"OVERDUE","Due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IF($Q68&lt;&gt;"Yes","",IF(COUNTIFS(nrES_PID,$D68,nrES_Code,$F68,nrES_Att,2)&gt;0,"Retested",IF(OR($T68="",NOT(ISNUMBER($T68))),"Pending",IF(TODAY()&gt;$T68,"OVERDUE","Due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IF($Q69&lt;&gt;"Yes","",IF(COUNTIFS(nrES_PID,$D69,nrES_Code,$F69,nrES_Att,2)&gt;0,"Retested",IF(OR($T69="",NOT(ISNUMBER($T69))),"Pending",IF(TODAY()&gt;$T69,"OVERDUE","Due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IF($Q70&lt;&gt;"Yes","",IF(COUNTIFS(nrES_PID,$D70,nrES_Code,$F70,nrES_Att,2)&gt;0,"Retested",IF(OR($T70="",NOT(ISNUMBER($T70))),"Pending",IF(TODAY()&gt;$T70,"OVERDUE","Due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IF($Q71&lt;&gt;"Yes","",IF(COUNTIFS(nrES_PID,$D71,nrES_Code,$F71,nrES_Att,2)&gt;0,"Retested",IF(OR($T71="",NOT(ISNUMBER($T71))),"Pending",IF(TODAY()&gt;$T71,"OVERDUE","Due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IF($Q72&lt;&gt;"Yes","",IF(COUNTIFS(nrES_PID,$D72,nrES_Code,$F72,nrES_Att,2)&gt;0,"Retested",IF(OR($T72="",NOT(ISNUMBER($T72))),"Pending",IF(TODAY()&gt;$T72,"OVERDUE","Due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IF($Q73&lt;&gt;"Yes","",IF(COUNTIFS(nrES_PID,$D73,nrES_Code,$F73,nrES_Att,2)&gt;0,"Retested",IF(OR($T73="",NOT(ISNUMBER($T73))),"Pending",IF(TODAY()&gt;$T73,"OVERDUE","Due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IF($Q74&lt;&gt;"Yes","",IF(COUNTIFS(nrES_PID,$D74,nrES_Code,$F74,nrES_Att,2)&gt;0,"Retested",IF(OR($T74="",NOT(ISNUMBER($T74))),"Pending",IF(TODAY()&gt;$T74,"OVERDUE","Due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IF($Q75&lt;&gt;"Yes","",IF(COUNTIFS(nrES_PID,$D75,nrES_Code,$F75,nrES_Att,2)&gt;0,"Retested",IF(OR($T75="",NOT(ISNUMBER($T75))),"Pending",IF(TODAY()&gt;$T75,"OVERDUE","Due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IF($Q76&lt;&gt;"Yes","",IF(COUNTIFS(nrES_PID,$D76,nrES_Code,$F76,nrES_Att,2)&gt;0,"Retested",IF(OR($T76="",NOT(ISNUMBER($T76))),"Pending",IF(TODAY()&gt;$T76,"OVERDUE","Due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IF($Q77&lt;&gt;"Yes","",IF(COUNTIFS(nrES_PID,$D77,nrES_Code,$F77,nrES_Att,2)&gt;0,"Retested",IF(OR($T77="",NOT(ISNUMBER($T77))),"Pending",IF(TODAY()&gt;$T77,"OVERDUE","Due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IF($Q78&lt;&gt;"Yes","",IF(COUNTIFS(nrES_PID,$D78,nrES_Code,$F78,nrES_Att,2)&gt;0,"Retested",IF(OR($T78="",NOT(ISNUMBER($T78))),"Pending",IF(TODAY()&gt;$T78,"OVERDUE","Due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IF($Q79&lt;&gt;"Yes","",IF(COUNTIFS(nrES_PID,$D79,nrES_Code,$F79,nrES_Att,2)&gt;0,"Retested",IF(OR($T79="",NOT(ISNUMBER($T79))),"Pending",IF(TODAY()&gt;$T79,"OVERDUE","Due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IF($Q80&lt;&gt;"Yes","",IF(COUNTIFS(nrES_PID,$D80,nrES_Code,$F80,nrES_Att,2)&gt;0,"Retested",IF(OR($T80="",NOT(ISNUMBER($T80))),"Pending",IF(TODAY()&gt;$T80,"OVERDUE","Due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IF($Q81&lt;&gt;"Yes","",IF(COUNTIFS(nrES_PID,$D81,nrES_Code,$F81,nrES_Att,2)&gt;0,"Retested",IF(OR($T81="",NOT(ISNUMBER($T81))),"Pending",IF(TODAY()&gt;$T81,"OVERDUE","Due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IF($Q82&lt;&gt;"Yes","",IF(COUNTIFS(nrES_PID,$D82,nrES_Code,$F82,nrES_Att,2)&gt;0,"Retested",IF(OR($T82="",NOT(ISNUMBER($T82))),"Pending",IF(TODAY()&gt;$T82,"OVERDUE","Due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IF($Q83&lt;&gt;"Yes","",IF(COUNTIFS(nrES_PID,$D83,nrES_Code,$F83,nrES_Att,2)&gt;0,"Retested",IF(OR($T83="",NOT(ISNUMBER($T83))),"Pending",IF(TODAY()&gt;$T83,"OVERDUE","Due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IF($Q84&lt;&gt;"Yes","",IF(COUNTIFS(nrES_PID,$D84,nrES_Code,$F84,nrES_Att,2)&gt;0,"Retested",IF(OR($T84="",NOT(ISNUMBER($T84))),"Pending",IF(TODAY()&gt;$T84,"OVERDUE","Due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IF($Q85&lt;&gt;"Yes","",IF(COUNTIFS(nrES_PID,$D85,nrES_Code,$F85,nrES_Att,2)&gt;0,"Retested",IF(OR($T85="",NOT(ISNUMBER($T85))),"Pending",IF(TODAY()&gt;$T85,"OVERDUE","Due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IF($Q86&lt;&gt;"Yes","",IF(COUNTIFS(nrES_PID,$D86,nrES_Code,$F86,nrES_Att,2)&gt;0,"Retested",IF(OR($T86="",NOT(ISNUMBER($T86))),"Pending",IF(TODAY()&gt;$T86,"OVERDUE","Due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IF($Q87&lt;&gt;"Yes","",IF(COUNTIFS(nrES_PID,$D87,nrES_Code,$F87,nrES_Att,2)&gt;0,"Retested",IF(OR($T87="",NOT(ISNUMBER($T87))),"Pending",IF(TODAY()&gt;$T87,"OVERDUE","Due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IF($Q88&lt;&gt;"Yes","",IF(COUNTIFS(nrES_PID,$D88,nrES_Code,$F88,nrES_Att,2)&gt;0,"Retested",IF(OR($T88="",NOT(ISNUMBER($T88))),"Pending",IF(TODAY()&gt;$T88,"OVERDUE","Due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IF($Q89&lt;&gt;"Yes","",IF(COUNTIFS(nrES_PID,$D89,nrES_Code,$F89,nrES_Att,2)&gt;0,"Retested",IF(OR($T89="",NOT(ISNUMBER($T89))),"Pending",IF(TODAY()&gt;$T89,"OVERDUE","Due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IF($Q90&lt;&gt;"Yes","",IF(COUNTIFS(nrES_PID,$D90,nrES_Code,$F90,nrES_Att,2)&gt;0,"Retested",IF(OR($T90="",NOT(ISNUMBER($T90))),"Pending",IF(TODAY()&gt;$T90,"OVERDUE","Due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IF($Q91&lt;&gt;"Yes","",IF(COUNTIFS(nrES_PID,$D91,nrES_Code,$F91,nrES_Att,2)&gt;0,"Retested",IF(OR($T91="",NOT(ISNUMBER($T91))),"Pending",IF(TODAY()&gt;$T91,"OVERDUE","Due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IF($Q92&lt;&gt;"Yes","",IF(COUNTIFS(nrES_PID,$D92,nrES_Code,$F92,nrES_Att,2)&gt;0,"Retested",IF(OR($T92="",NOT(ISNUMBER($T92))),"Pending",IF(TODAY()&gt;$T92,"OVERDUE","Due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IF($Q93&lt;&gt;"Yes","",IF(COUNTIFS(nrES_PID,$D93,nrES_Code,$F93,nrES_Att,2)&gt;0,"Retested",IF(OR($T93="",NOT(ISNUMBER($T93))),"Pending",IF(TODAY()&gt;$T93,"OVERDUE","Due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IF($Q94&lt;&gt;"Yes","",IF(COUNTIFS(nrES_PID,$D94,nrES_Code,$F94,nrES_Att,2)&gt;0,"Retested",IF(OR($T94="",NOT(ISNUMBER($T94))),"Pending",IF(TODAY()&gt;$T94,"OVERDUE","Due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IF($Q95&lt;&gt;"Yes","",IF(COUNTIFS(nrES_PID,$D95,nrES_Code,$F95,nrES_Att,2)&gt;0,"Retested",IF(OR($T95="",NOT(ISNUMBER($T95))),"Pending",IF(TODAY()&gt;$T95,"OVERDUE","Due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IF($Q96&lt;&gt;"Yes","",IF(COUNTIFS(nrES_PID,$D96,nrES_Code,$F96,nrES_Att,2)&gt;0,"Retested",IF(OR($T96="",NOT(ISNUMBER($T96))),"Pending",IF(TODAY()&gt;$T96,"OVERDUE","Due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IF($Q97&lt;&gt;"Yes","",IF(COUNTIFS(nrES_PID,$D97,nrES_Code,$F97,nrES_Att,2)&gt;0,"Retested",IF(OR($T97="",NOT(ISNUMBER($T97))),"Pending",IF(TODAY()&gt;$T97,"OVERDUE","Due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IF($Q98&lt;&gt;"Yes","",IF(COUNTIFS(nrES_PID,$D98,nrES_Code,$F98,nrES_Att,2)&gt;0,"Retested",IF(OR($T98="",NOT(ISNUMBER($T98))),"Pending",IF(TODAY()&gt;$T98,"OVERDUE","Due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IF($Q99&lt;&gt;"Yes","",IF(COUNTIFS(nrES_PID,$D99,nrES_Code,$F99,nrES_Att,2)&gt;0,"Retested",IF(OR($T99="",NOT(ISNUMBER($T99))),"Pending",IF(TODAY()&gt;$T99,"OVERDUE","Due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IF($Q100&lt;&gt;"Yes","",IF(COUNTIFS(nrES_PID,$D100,nrES_Code,$F100,nrES_Att,2)&gt;0,"Retested",IF(OR($T100="",NOT(ISNUMBER($T100))),"Pending",IF(TODAY()&gt;$T100,"OVERDUE","Due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IF($Q101&lt;&gt;"Yes","",IF(COUNTIFS(nrES_PID,$D101,nrES_Code,$F101,nrES_Att,2)&gt;0,"Retested",IF(OR($T101="",NOT(ISNUMBER($T101))),"Pending",IF(TODAY()&gt;$T101,"OVERDUE","Due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IF($Q102&lt;&gt;"Yes","",IF(COUNTIFS(nrES_PID,$D102,nrES_Code,$F102,nrES_Att,2)&gt;0,"Retested",IF(OR($T102="",NOT(ISNUMBER($T102))),"Pending",IF(TODAY()&gt;$T102,"OVERDUE","Due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IF($Q103&lt;&gt;"Yes","",IF(COUNTIFS(nrES_PID,$D103,nrES_Code,$F103,nrES_Att,2)&gt;0,"Retested",IF(OR($T103="",NOT(ISNUMBER($T103))),"Pending",IF(TODAY()&gt;$T103,"OVERDUE","Due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IF($Q104&lt;&gt;"Yes","",IF(COUNTIFS(nrES_PID,$D104,nrES_Code,$F104,nrES_Att,2)&gt;0,"Retested",IF(OR($T104="",NOT(ISNUMBER($T104))),"Pending",IF(TODAY()&gt;$T104,"OVERDUE","Due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IF($Q105&lt;&gt;"Yes","",IF(COUNTIFS(nrES_PID,$D105,nrES_Code,$F105,nrES_Att,2)&gt;0,"Retested",IF(OR($T105="",NOT(ISNUMBER($T105))),"Pending",IF(TODAY()&gt;$T105,"OVERDUE","Due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IF($Q106&lt;&gt;"Yes","",IF(COUNTIFS(nrES_PID,$D106,nrES_Code,$F106,nrES_Att,2)&gt;0,"Retested",IF(OR($T106="",NOT(ISNUMBER($T106))),"Pending",IF(TODAY()&gt;$T106,"OVERDUE","Due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IF($Q107&lt;&gt;"Yes","",IF(COUNTIFS(nrES_PID,$D107,nrES_Code,$F107,nrES_Att,2)&gt;0,"Retested",IF(OR($T107="",NOT(ISNUMBER($T107))),"Pending",IF(TODAY()&gt;$T107,"OVERDUE","Due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IF($Q108&lt;&gt;"Yes","",IF(COUNTIFS(nrES_PID,$D108,nrES_Code,$F108,nrES_Att,2)&gt;0,"Retested",IF(OR($T108="",NOT(ISNUMBER($T108))),"Pending",IF(TODAY()&gt;$T108,"OVERDUE","Due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IF($Q109&lt;&gt;"Yes","",IF(COUNTIFS(nrES_PID,$D109,nrES_Code,$F109,nrES_Att,2)&gt;0,"Retested",IF(OR($T109="",NOT(ISNUMBER($T109))),"Pending",IF(TODAY()&gt;$T109,"OVERDUE","Due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IF($Q110&lt;&gt;"Yes","",IF(COUNTIFS(nrES_PID,$D110,nrES_Code,$F110,nrES_Att,2)&gt;0,"Retested",IF(OR($T110="",NOT(ISNUMBER($T110))),"Pending",IF(TODAY()&gt;$T110,"OVERDUE","Due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IF($Q111&lt;&gt;"Yes","",IF(COUNTIFS(nrES_PID,$D111,nrES_Code,$F111,nrES_Att,2)&gt;0,"Retested",IF(OR($T111="",NOT(ISNUMBER($T111))),"Pending",IF(TODAY()&gt;$T111,"OVERDUE","Due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IF($Q112&lt;&gt;"Yes","",IF(COUNTIFS(nrES_PID,$D112,nrES_Code,$F112,nrES_Att,2)&gt;0,"Retested",IF(OR($T112="",NOT(ISNUMBER($T112))),"Pending",IF(TODAY()&gt;$T112,"OVERDUE","Due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IF($Q113&lt;&gt;"Yes","",IF(COUNTIFS(nrES_PID,$D113,nrES_Code,$F113,nrES_Att,2)&gt;0,"Retested",IF(OR($T113="",NOT(ISNUMBER($T113))),"Pending",IF(TODAY()&gt;$T113,"OVERDUE","Due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IF($Q114&lt;&gt;"Yes","",IF(COUNTIFS(nrES_PID,$D114,nrES_Code,$F114,nrES_Att,2)&gt;0,"Retested",IF(OR($T114="",NOT(ISNUMBER($T114))),"Pending",IF(TODAY()&gt;$T114,"OVERDUE","Due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IF($Q115&lt;&gt;"Yes","",IF(COUNTIFS(nrES_PID,$D115,nrES_Code,$F115,nrES_Att,2)&gt;0,"Retested",IF(OR($T115="",NOT(ISNUMBER($T115))),"Pending",IF(TODAY()&gt;$T115,"OVERDUE","Due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IF($Q116&lt;&gt;"Yes","",IF(COUNTIFS(nrES_PID,$D116,nrES_Code,$F116,nrES_Att,2)&gt;0,"Retested",IF(OR($T116="",NOT(ISNUMBER($T116))),"Pending",IF(TODAY()&gt;$T116,"OVERDUE","Due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IF($Q117&lt;&gt;"Yes","",IF(COUNTIFS(nrES_PID,$D117,nrES_Code,$F117,nrES_Att,2)&gt;0,"Retested",IF(OR($T117="",NOT(ISNUMBER($T117))),"Pending",IF(TODAY()&gt;$T117,"OVERDUE","Due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IF($Q118&lt;&gt;"Yes","",IF(COUNTIFS(nrES_PID,$D118,nrES_Code,$F118,nrES_Att,2)&gt;0,"Retested",IF(OR($T118="",NOT(ISNUMBER($T118))),"Pending",IF(TODAY()&gt;$T118,"OVERDUE","Due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IF($Q119&lt;&gt;"Yes","",IF(COUNTIFS(nrES_PID,$D119,nrES_Code,$F119,nrES_Att,2)&gt;0,"Retested",IF(OR($T119="",NOT(ISNUMBER($T119))),"Pending",IF(TODAY()&gt;$T119,"OVERDUE","Due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IF($Q120&lt;&gt;"Yes","",IF(COUNTIFS(nrES_PID,$D120,nrES_Code,$F120,nrES_Att,2)&gt;0,"Retested",IF(OR($T120="",NOT(ISNUMBER($T120))),"Pending",IF(TODAY()&gt;$T120,"OVERDUE","Due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IF($Q121&lt;&gt;"Yes","",IF(COUNTIFS(nrES_PID,$D121,nrES_Code,$F121,nrES_Att,2)&gt;0,"Retested",IF(OR($T121="",NOT(ISNUMBER($T121))),"Pending",IF(TODAY()&gt;$T121,"OVERDUE","Due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IF($Q122&lt;&gt;"Yes","",IF(COUNTIFS(nrES_PID,$D122,nrES_Code,$F122,nrES_Att,2)&gt;0,"Retested",IF(OR($T122="",NOT(ISNUMBER($T122))),"Pending",IF(TODAY()&gt;$T122,"OVERDUE","Due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IF($Q123&lt;&gt;"Yes","",IF(COUNTIFS(nrES_PID,$D123,nrES_Code,$F123,nrES_Att,2)&gt;0,"Retested",IF(OR($T123="",NOT(ISNUMBER($T123))),"Pending",IF(TODAY()&gt;$T123,"OVERDUE","Due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IF($Q124&lt;&gt;"Yes","",IF(COUNTIFS(nrES_PID,$D124,nrES_Code,$F124,nrES_Att,2)&gt;0,"Retested",IF(OR($T124="",NOT(ISNUMBER($T124))),"Pending",IF(TODAY()&gt;$T124,"OVERDUE","Due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IF($Q125&lt;&gt;"Yes","",IF(COUNTIFS(nrES_PID,$D125,nrES_Code,$F125,nrES_Att,2)&gt;0,"Retested",IF(OR($T125="",NOT(ISNUMBER($T125))),"Pending",IF(TODAY()&gt;$T125,"OVERDUE","Due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IF($Q126&lt;&gt;"Yes","",IF(COUNTIFS(nrES_PID,$D126,nrES_Code,$F126,nrES_Att,2)&gt;0,"Retested",IF(OR($T126="",NOT(ISNUMBER($T126))),"Pending",IF(TODAY()&gt;$T126,"OVERDUE","Due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IF($Q127&lt;&gt;"Yes","",IF(COUNTIFS(nrES_PID,$D127,nrES_Code,$F127,nrES_Att,2)&gt;0,"Retested",IF(OR($T127="",NOT(ISNUMBER($T127))),"Pending",IF(TODAY()&gt;$T127,"OVERDUE","Due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IF($Q128&lt;&gt;"Yes","",IF(COUNTIFS(nrES_PID,$D128,nrES_Code,$F128,nrES_Att,2)&gt;0,"Retested",IF(OR($T128="",NOT(ISNUMBER($T128))),"Pending",IF(TODAY()&gt;$T128,"OVERDUE","Due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IF($Q129&lt;&gt;"Yes","",IF(COUNTIFS(nrES_PID,$D129,nrES_Code,$F129,nrES_Att,2)&gt;0,"Retested",IF(OR($T129="",NOT(ISNUMBER($T129))),"Pending",IF(TODAY()&gt;$T129,"OVERDUE","Due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IF($Q130&lt;&gt;"Yes","",IF(COUNTIFS(nrES_PID,$D130,nrES_Code,$F130,nrES_Att,2)&gt;0,"Retested",IF(OR($T130="",NOT(ISNUMBER($T130))),"Pending",IF(TODAY()&gt;$T130,"OVERDUE","Due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IF($Q131&lt;&gt;"Yes","",IF(COUNTIFS(nrES_PID,$D131,nrES_Code,$F131,nrES_Att,2)&gt;0,"Retested",IF(OR($T131="",NOT(ISNUMBER($T131))),"Pending",IF(TODAY()&gt;$T131,"OVERDUE","Due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IF($Q132&lt;&gt;"Yes","",IF(COUNTIFS(nrES_PID,$D132,nrES_Code,$F132,nrES_Att,2)&gt;0,"Retested",IF(OR($T132="",NOT(ISNUMBER($T132))),"Pending",IF(TODAY()&gt;$T132,"OVERDUE","Due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IF($Q133&lt;&gt;"Yes","",IF(COUNTIFS(nrES_PID,$D133,nrES_Code,$F133,nrES_Att,2)&gt;0,"Retested",IF(OR($T133="",NOT(ISNUMBER($T133))),"Pending",IF(TODAY()&gt;$T133,"OVERDUE","Due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IF($Q134&lt;&gt;"Yes","",IF(COUNTIFS(nrES_PID,$D134,nrES_Code,$F134,nrES_Att,2)&gt;0,"Retested",IF(OR($T134="",NOT(ISNUMBER($T134))),"Pending",IF(TODAY()&gt;$T134,"OVERDUE","Due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IF($Q135&lt;&gt;"Yes","",IF(COUNTIFS(nrES_PID,$D135,nrES_Code,$F135,nrES_Att,2)&gt;0,"Retested",IF(OR($T135="",NOT(ISNUMBER($T135))),"Pending",IF(TODAY()&gt;$T135,"OVERDUE","Due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IF($Q136&lt;&gt;"Yes","",IF(COUNTIFS(nrES_PID,$D136,nrES_Code,$F136,nrES_Att,2)&gt;0,"Retested",IF(OR($T136="",NOT(ISNUMBER($T136))),"Pending",IF(TODAY()&gt;$T136,"OVERDUE","Due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IF($Q137&lt;&gt;"Yes","",IF(COUNTIFS(nrES_PID,$D137,nrES_Code,$F137,nrES_Att,2)&gt;0,"Retested",IF(OR($T137="",NOT(ISNUMBER($T137))),"Pending",IF(TODAY()&gt;$T137,"OVERDUE","Due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IF($Q138&lt;&gt;"Yes","",IF(COUNTIFS(nrES_PID,$D138,nrES_Code,$F138,nrES_Att,2)&gt;0,"Retested",IF(OR($T138="",NOT(ISNUMBER($T138))),"Pending",IF(TODAY()&gt;$T138,"OVERDUE","Due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IF($Q139&lt;&gt;"Yes","",IF(COUNTIFS(nrES_PID,$D139,nrES_Code,$F139,nrES_Att,2)&gt;0,"Retested",IF(OR($T139="",NOT(ISNUMBER($T139))),"Pending",IF(TODAY()&gt;$T139,"OVERDUE","Due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IF($Q140&lt;&gt;"Yes","",IF(COUNTIFS(nrES_PID,$D140,nrES_Code,$F140,nrES_Att,2)&gt;0,"Retested",IF(OR($T140="",NOT(ISNUMBER($T140))),"Pending",IF(TODAY()&gt;$T140,"OVERDUE","Due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IF($Q141&lt;&gt;"Yes","",IF(COUNTIFS(nrES_PID,$D141,nrES_Code,$F141,nrES_Att,2)&gt;0,"Retested",IF(OR($T141="",NOT(ISNUMBER($T141))),"Pending",IF(TODAY()&gt;$T141,"OVERDUE","Due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IF($Q142&lt;&gt;"Yes","",IF(COUNTIFS(nrES_PID,$D142,nrES_Code,$F142,nrES_Att,2)&gt;0,"Retested",IF(OR($T142="",NOT(ISNUMBER($T142))),"Pending",IF(TODAY()&gt;$T142,"OVERDUE","Due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IF($Q143&lt;&gt;"Yes","",IF(COUNTIFS(nrES_PID,$D143,nrES_Code,$F143,nrES_Att,2)&gt;0,"Retested",IF(OR($T143="",NOT(ISNUMBER($T143))),"Pending",IF(TODAY()&gt;$T143,"OVERDUE","Due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IF($Q144&lt;&gt;"Yes","",IF(COUNTIFS(nrES_PID,$D144,nrES_Code,$F144,nrES_Att,2)&gt;0,"Retested",IF(OR($T144="",NOT(ISNUMBER($T144))),"Pending",IF(TODAY()&gt;$T144,"OVERDUE","Due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IF($Q145&lt;&gt;"Yes","",IF(COUNTIFS(nrES_PID,$D145,nrES_Code,$F145,nrES_Att,2)&gt;0,"Retested",IF(OR($T145="",NOT(ISNUMBER($T145))),"Pending",IF(TODAY()&gt;$T145,"OVERDUE","Due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IF($Q146&lt;&gt;"Yes","",IF(COUNTIFS(nrES_PID,$D146,nrES_Code,$F146,nrES_Att,2)&gt;0,"Retested",IF(OR($T146="",NOT(ISNUMBER($T146))),"Pending",IF(TODAY()&gt;$T146,"OVERDUE","Due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IF($Q147&lt;&gt;"Yes","",IF(COUNTIFS(nrES_PID,$D147,nrES_Code,$F147,nrES_Att,2)&gt;0,"Retested",IF(OR($T147="",NOT(ISNUMBER($T147))),"Pending",IF(TODAY()&gt;$T147,"OVERDUE","Due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IF($Q148&lt;&gt;"Yes","",IF(COUNTIFS(nrES_PID,$D148,nrES_Code,$F148,nrES_Att,2)&gt;0,"Retested",IF(OR($T148="",NOT(ISNUMBER($T148))),"Pending",IF(TODAY()&gt;$T148,"OVERDUE","Due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IF($Q149&lt;&gt;"Yes","",IF(COUNTIFS(nrES_PID,$D149,nrES_Code,$F149,nrES_Att,2)&gt;0,"Retested",IF(OR($T149="",NOT(ISNUMBER($T149))),"Pending",IF(TODAY()&gt;$T149,"OVERDUE","Due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IF($Q150&lt;&gt;"Yes","",IF(COUNTIFS(nrES_PID,$D150,nrES_Code,$F150,nrES_Att,2)&gt;0,"Retested",IF(OR($T150="",NOT(ISNUMBER($T150))),"Pending",IF(TODAY()&gt;$T150,"OVERDUE","Due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IF($Q151&lt;&gt;"Yes","",IF(COUNTIFS(nrES_PID,$D151,nrES_Code,$F151,nrES_Att,2)&gt;0,"Retested",IF(OR($T151="",NOT(ISNUMBER($T151))),"Pending",IF(TODAY()&gt;$T151,"OVERDUE","Due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IF($Q152&lt;&gt;"Yes","",IF(COUNTIFS(nrES_PID,$D152,nrES_Code,$F152,nrES_Att,2)&gt;0,"Retested",IF(OR($T152="",NOT(ISNUMBER($T152))),"Pending",IF(TODAY()&gt;$T152,"OVERDUE","Due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IF($Q153&lt;&gt;"Yes","",IF(COUNTIFS(nrES_PID,$D153,nrES_Code,$F153,nrES_Att,2)&gt;0,"Retested",IF(OR($T153="",NOT(ISNUMBER($T153))),"Pending",IF(TODAY()&gt;$T153,"OVERDUE","Due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IF($Q154&lt;&gt;"Yes","",IF(COUNTIFS(nrES_PID,$D154,nrES_Code,$F154,nrES_Att,2)&gt;0,"Retested",IF(OR($T154="",NOT(ISNUMBER($T154))),"Pending",IF(TODAY()&gt;$T154,"OVERDUE","Due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IF($Q155&lt;&gt;"Yes","",IF(COUNTIFS(nrES_PID,$D155,nrES_Code,$F155,nrES_Att,2)&gt;0,"Retested",IF(OR($T155="",NOT(ISNUMBER($T155))),"Pending",IF(TODAY()&gt;$T155,"OVERDUE","Due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IF($Q156&lt;&gt;"Yes","",IF(COUNTIFS(nrES_PID,$D156,nrES_Code,$F156,nrES_Att,2)&gt;0,"Retested",IF(OR($T156="",NOT(ISNUMBER($T156))),"Pending",IF(TODAY()&gt;$T156,"OVERDUE","Due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IF($Q157&lt;&gt;"Yes","",IF(COUNTIFS(nrES_PID,$D157,nrES_Code,$F157,nrES_Att,2)&gt;0,"Retested",IF(OR($T157="",NOT(ISNUMBER($T157))),"Pending",IF(TODAY()&gt;$T157,"OVERDUE","Due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IF($Q158&lt;&gt;"Yes","",IF(COUNTIFS(nrES_PID,$D158,nrES_Code,$F158,nrES_Att,2)&gt;0,"Retested",IF(OR($T158="",NOT(ISNUMBER($T158))),"Pending",IF(TODAY()&gt;$T158,"OVERDUE","Due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IF($Q159&lt;&gt;"Yes","",IF(COUNTIFS(nrES_PID,$D159,nrES_Code,$F159,nrES_Att,2)&gt;0,"Retested",IF(OR($T159="",NOT(ISNUMBER($T159))),"Pending",IF(TODAY()&gt;$T159,"OVERDUE","Due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IF($Q160&lt;&gt;"Yes","",IF(COUNTIFS(nrES_PID,$D160,nrES_Code,$F160,nrES_Att,2)&gt;0,"Retested",IF(OR($T160="",NOT(ISNUMBER($T160))),"Pending",IF(TODAY()&gt;$T160,"OVERDUE","Due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IF($Q161&lt;&gt;"Yes","",IF(COUNTIFS(nrES_PID,$D161,nrES_Code,$F161,nrES_Att,2)&gt;0,"Retested",IF(OR($T161="",NOT(ISNUMBER($T161))),"Pending",IF(TODAY()&gt;$T161,"OVERDUE","Due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IF($Q162&lt;&gt;"Yes","",IF(COUNTIFS(nrES_PID,$D162,nrES_Code,$F162,nrES_Att,2)&gt;0,"Retested",IF(OR($T162="",NOT(ISNUMBER($T162))),"Pending",IF(TODAY()&gt;$T162,"OVERDUE","Due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IF($Q163&lt;&gt;"Yes","",IF(COUNTIFS(nrES_PID,$D163,nrES_Code,$F163,nrES_Att,2)&gt;0,"Retested",IF(OR($T163="",NOT(ISNUMBER($T163))),"Pending",IF(TODAY()&gt;$T163,"OVERDUE","Due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IF($Q164&lt;&gt;"Yes","",IF(COUNTIFS(nrES_PID,$D164,nrES_Code,$F164,nrES_Att,2)&gt;0,"Retested",IF(OR($T164="",NOT(ISNUMBER($T164))),"Pending",IF(TODAY()&gt;$T164,"OVERDUE","Due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IF($Q165&lt;&gt;"Yes","",IF(COUNTIFS(nrES_PID,$D165,nrES_Code,$F165,nrES_Att,2)&gt;0,"Retested",IF(OR($T165="",NOT(ISNUMBER($T165))),"Pending",IF(TODAY()&gt;$T165,"OVERDUE","Due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IF($Q166&lt;&gt;"Yes","",IF(COUNTIFS(nrES_PID,$D166,nrES_Code,$F166,nrES_Att,2)&gt;0,"Retested",IF(OR($T166="",NOT(ISNUMBER($T166))),"Pending",IF(TODAY()&gt;$T166,"OVERDUE","Due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IF($Q167&lt;&gt;"Yes","",IF(COUNTIFS(nrES_PID,$D167,nrES_Code,$F167,nrES_Att,2)&gt;0,"Retested",IF(OR($T167="",NOT(ISNUMBER($T167))),"Pending",IF(TODAY()&gt;$T167,"OVERDUE","Due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IF($Q168&lt;&gt;"Yes","",IF(COUNTIFS(nrES_PID,$D168,nrES_Code,$F168,nrES_Att,2)&gt;0,"Retested",IF(OR($T168="",NOT(ISNUMBER($T168))),"Pending",IF(TODAY()&gt;$T168,"OVERDUE","Due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IF($Q169&lt;&gt;"Yes","",IF(COUNTIFS(nrES_PID,$D169,nrES_Code,$F169,nrES_Att,2)&gt;0,"Retested",IF(OR($T169="",NOT(ISNUMBER($T169))),"Pending",IF(TODAY()&gt;$T169,"OVERDUE","Due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IF($Q170&lt;&gt;"Yes","",IF(COUNTIFS(nrES_PID,$D170,nrES_Code,$F170,nrES_Att,2)&gt;0,"Retested",IF(OR($T170="",NOT(ISNUMBER($T170))),"Pending",IF(TODAY()&gt;$T170,"OVERDUE","Due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IF($Q171&lt;&gt;"Yes","",IF(COUNTIFS(nrES_PID,$D171,nrES_Code,$F171,nrES_Att,2)&gt;0,"Retested",IF(OR($T171="",NOT(ISNUMBER($T171))),"Pending",IF(TODAY()&gt;$T171,"OVERDUE","Due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IF($Q172&lt;&gt;"Yes","",IF(COUNTIFS(nrES_PID,$D172,nrES_Code,$F172,nrES_Att,2)&gt;0,"Retested",IF(OR($T172="",NOT(ISNUMBER($T172))),"Pending",IF(TODAY()&gt;$T172,"OVERDUE","Due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IF($Q173&lt;&gt;"Yes","",IF(COUNTIFS(nrES_PID,$D173,nrES_Code,$F173,nrES_Att,2)&gt;0,"Retested",IF(OR($T173="",NOT(ISNUMBER($T173))),"Pending",IF(TODAY()&gt;$T173,"OVERDUE","Due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IF($Q174&lt;&gt;"Yes","",IF(COUNTIFS(nrES_PID,$D174,nrES_Code,$F174,nrES_Att,2)&gt;0,"Retested",IF(OR($T174="",NOT(ISNUMBER($T174))),"Pending",IF(TODAY()&gt;$T174,"OVERDUE","Due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IF($Q175&lt;&gt;"Yes","",IF(COUNTIFS(nrES_PID,$D175,nrES_Code,$F175,nrES_Att,2)&gt;0,"Retested",IF(OR($T175="",NOT(ISNUMBER($T175))),"Pending",IF(TODAY()&gt;$T175,"OVERDUE","Due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IF($Q176&lt;&gt;"Yes","",IF(COUNTIFS(nrES_PID,$D176,nrES_Code,$F176,nrES_Att,2)&gt;0,"Retested",IF(OR($T176="",NOT(ISNUMBER($T176))),"Pending",IF(TODAY()&gt;$T176,"OVERDUE","Due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IF($Q177&lt;&gt;"Yes","",IF(COUNTIFS(nrES_PID,$D177,nrES_Code,$F177,nrES_Att,2)&gt;0,"Retested",IF(OR($T177="",NOT(ISNUMBER($T177))),"Pending",IF(TODAY()&gt;$T177,"OVERDUE","Due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IF($Q178&lt;&gt;"Yes","",IF(COUNTIFS(nrES_PID,$D178,nrES_Code,$F178,nrES_Att,2)&gt;0,"Retested",IF(OR($T178="",NOT(ISNUMBER($T178))),"Pending",IF(TODAY()&gt;$T178,"OVERDUE","Due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IF($Q179&lt;&gt;"Yes","",IF(COUNTIFS(nrES_PID,$D179,nrES_Code,$F179,nrES_Att,2)&gt;0,"Retested",IF(OR($T179="",NOT(ISNUMBER($T179))),"Pending",IF(TODAY()&gt;$T179,"OVERDUE","Due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IF($Q180&lt;&gt;"Yes","",IF(COUNTIFS(nrES_PID,$D180,nrES_Code,$F180,nrES_Att,2)&gt;0,"Retested",IF(OR($T180="",NOT(ISNUMBER($T180))),"Pending",IF(TODAY()&gt;$T180,"OVERDUE","Due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IF($Q181&lt;&gt;"Yes","",IF(COUNTIFS(nrES_PID,$D181,nrES_Code,$F181,nrES_Att,2)&gt;0,"Retested",IF(OR($T181="",NOT(ISNUMBER($T181))),"Pending",IF(TODAY()&gt;$T181,"OVERDUE","Due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IF($Q182&lt;&gt;"Yes","",IF(COUNTIFS(nrES_PID,$D182,nrES_Code,$F182,nrES_Att,2)&gt;0,"Retested",IF(OR($T182="",NOT(ISNUMBER($T182))),"Pending",IF(TODAY()&gt;$T182,"OVERDUE","Due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IF($Q183&lt;&gt;"Yes","",IF(COUNTIFS(nrES_PID,$D183,nrES_Code,$F183,nrES_Att,2)&gt;0,"Retested",IF(OR($T183="",NOT(ISNUMBER($T183))),"Pending",IF(TODAY()&gt;$T183,"OVERDUE","Due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IF($Q184&lt;&gt;"Yes","",IF(COUNTIFS(nrES_PID,$D184,nrES_Code,$F184,nrES_Att,2)&gt;0,"Retested",IF(OR($T184="",NOT(ISNUMBER($T184))),"Pending",IF(TODAY()&gt;$T184,"OVERDUE","Due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IF($Q185&lt;&gt;"Yes","",IF(COUNTIFS(nrES_PID,$D185,nrES_Code,$F185,nrES_Att,2)&gt;0,"Retested",IF(OR($T185="",NOT(ISNUMBER($T185))),"Pending",IF(TODAY()&gt;$T185,"OVERDUE","Due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IF($Q186&lt;&gt;"Yes","",IF(COUNTIFS(nrES_PID,$D186,nrES_Code,$F186,nrES_Att,2)&gt;0,"Retested",IF(OR($T186="",NOT(ISNUMBER($T186))),"Pending",IF(TODAY()&gt;$T186,"OVERDUE","Due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IF($Q187&lt;&gt;"Yes","",IF(COUNTIFS(nrES_PID,$D187,nrES_Code,$F187,nrES_Att,2)&gt;0,"Retested",IF(OR($T187="",NOT(ISNUMBER($T187))),"Pending",IF(TODAY()&gt;$T187,"OVERDUE","Due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IF($Q188&lt;&gt;"Yes","",IF(COUNTIFS(nrES_PID,$D188,nrES_Code,$F188,nrES_Att,2)&gt;0,"Retested",IF(OR($T188="",NOT(ISNUMBER($T188))),"Pending",IF(TODAY()&gt;$T188,"OVERDUE","Due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IF($Q189&lt;&gt;"Yes","",IF(COUNTIFS(nrES_PID,$D189,nrES_Code,$F189,nrES_Att,2)&gt;0,"Retested",IF(OR($T189="",NOT(ISNUMBER($T189))),"Pending",IF(TODAY()&gt;$T189,"OVERDUE","Due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IF($Q190&lt;&gt;"Yes","",IF(COUNTIFS(nrES_PID,$D190,nrES_Code,$F190,nrES_Att,2)&gt;0,"Retested",IF(OR($T190="",NOT(ISNUMBER($T190))),"Pending",IF(TODAY()&gt;$T190,"OVERDUE","Due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IF($Q191&lt;&gt;"Yes","",IF(COUNTIFS(nrES_PID,$D191,nrES_Code,$F191,nrES_Att,2)&gt;0,"Retested",IF(OR($T191="",NOT(ISNUMBER($T191))),"Pending",IF(TODAY()&gt;$T191,"OVERDUE","Due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IF($Q192&lt;&gt;"Yes","",IF(COUNTIFS(nrES_PID,$D192,nrES_Code,$F192,nrES_Att,2)&gt;0,"Retested",IF(OR($T192="",NOT(ISNUMBER($T192))),"Pending",IF(TODAY()&gt;$T192,"OVERDUE","Due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IF($Q193&lt;&gt;"Yes","",IF(COUNTIFS(nrES_PID,$D193,nrES_Code,$F193,nrES_Att,2)&gt;0,"Retested",IF(OR($T193="",NOT(ISNUMBER($T193))),"Pending",IF(TODAY()&gt;$T193,"OVERDUE","Due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IF($Q194&lt;&gt;"Yes","",IF(COUNTIFS(nrES_PID,$D194,nrES_Code,$F194,nrES_Att,2)&gt;0,"Retested",IF(OR($T194="",NOT(ISNUMBER($T194))),"Pending",IF(TODAY()&gt;$T194,"OVERDUE","Due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IF($Q195&lt;&gt;"Yes","",IF(COUNTIFS(nrES_PID,$D195,nrES_Code,$F195,nrES_Att,2)&gt;0,"Retested",IF(OR($T195="",NOT(ISNUMBER($T195))),"Pending",IF(TODAY()&gt;$T195,"OVERDUE","Due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IF($Q196&lt;&gt;"Yes","",IF(COUNTIFS(nrES_PID,$D196,nrES_Code,$F196,nrES_Att,2)&gt;0,"Retested",IF(OR($T196="",NOT(ISNUMBER($T196))),"Pending",IF(TODAY()&gt;$T196,"OVERDUE","Due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IF($Q197&lt;&gt;"Yes","",IF(COUNTIFS(nrES_PID,$D197,nrES_Code,$F197,nrES_Att,2)&gt;0,"Retested",IF(OR($T197="",NOT(ISNUMBER($T197))),"Pending",IF(TODAY()&gt;$T197,"OVERDUE","Due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IF($Q198&lt;&gt;"Yes","",IF(COUNTIFS(nrES_PID,$D198,nrES_Code,$F198,nrES_Att,2)&gt;0,"Retested",IF(OR($T198="",NOT(ISNUMBER($T198))),"Pending",IF(TODAY()&gt;$T198,"OVERDUE","Due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IF($Q199&lt;&gt;"Yes","",IF(COUNTIFS(nrES_PID,$D199,nrES_Code,$F199,nrES_Att,2)&gt;0,"Retested",IF(OR($T199="",NOT(ISNUMBER($T199))),"Pending",IF(TODAY()&gt;$T199,"OVERDUE","Due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IF($Q200&lt;&gt;"Yes","",IF(COUNTIFS(nrES_PID,$D200,nrES_Code,$F200,nrES_Att,2)&gt;0,"Retested",IF(OR($T200="",NOT(ISNUMBER($T200))),"Pending",IF(TODAY()&gt;$T200,"OVERDUE","Due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IF($Q201&lt;&gt;"Yes","",IF(COUNTIFS(nrES_PID,$D201,nrES_Code,$F201,nrES_Att,2)&gt;0,"Retested",IF(OR($T201="",NOT(ISNUMBER($T201))),"Pending",IF(TODAY()&gt;$T201,"OVERDUE","Due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IF($Q202&lt;&gt;"Yes","",IF(COUNTIFS(nrES_PID,$D202,nrES_Code,$F202,nrES_Att,2)&gt;0,"Retested",IF(OR($T202="",NOT(ISNUMBER($T202))),"Pending",IF(TODAY()&gt;$T202,"OVERDUE","Due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IF($Q203&lt;&gt;"Yes","",IF(COUNTIFS(nrES_PID,$D203,nrES_Code,$F203,nrES_Att,2)&gt;0,"Retested",IF(OR($T203="",NOT(ISNUMBER($T203))),"Pending",IF(TODAY()&gt;$T203,"OVERDUE","Due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IF($Q204&lt;&gt;"Yes","",IF(COUNTIFS(nrES_PID,$D204,nrES_Code,$F204,nrES_Att,2)&gt;0,"Retested",IF(OR($T204="",NOT(ISNUMBER($T204))),"Pending",IF(TODAY()&gt;$T204,"OVERDUE","Due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IF($Q205&lt;&gt;"Yes","",IF(COUNTIFS(nrES_PID,$D205,nrES_Code,$F205,nrES_Att,2)&gt;0,"Retested",IF(OR($T205="",NOT(ISNUMBER($T205))),"Pending",IF(TODAY()&gt;$T205,"OVERDUE","Due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IF($Q206&lt;&gt;"Yes","",IF(COUNTIFS(nrES_PID,$D206,nrES_Code,$F206,nrES_Att,2)&gt;0,"Retested",IF(OR($T206="",NOT(ISNUMBER($T206))),"Pending",IF(TODAY()&gt;$T206,"OVERDUE","Due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IF($Q207&lt;&gt;"Yes","",IF(COUNTIFS(nrES_PID,$D207,nrES_Code,$F207,nrES_Att,2)&gt;0,"Retested",IF(OR($T207="",NOT(ISNUMBER($T207))),"Pending",IF(TODAY()&gt;$T207,"OVERDUE","Due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IF($Q208&lt;&gt;"Yes","",IF(COUNTIFS(nrES_PID,$D208,nrES_Code,$F208,nrES_Att,2)&gt;0,"Retested",IF(OR($T208="",NOT(ISNUMBER($T208))),"Pending",IF(TODAY()&gt;$T208,"OVERDUE","Due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IF($Q209&lt;&gt;"Yes","",IF(COUNTIFS(nrES_PID,$D209,nrES_Code,$F209,nrES_Att,2)&gt;0,"Retested",IF(OR($T209="",NOT(ISNUMBER($T209))),"Pending",IF(TODAY()&gt;$T209,"OVERDUE","Due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IF($Q210&lt;&gt;"Yes","",IF(COUNTIFS(nrES_PID,$D210,nrES_Code,$F210,nrES_Att,2)&gt;0,"Retested",IF(OR($T210="",NOT(ISNUMBER($T210))),"Pending",IF(TODAY()&gt;$T210,"OVERDUE","Due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IF($Q211&lt;&gt;"Yes","",IF(COUNTIFS(nrES_PID,$D211,nrES_Code,$F211,nrES_Att,2)&gt;0,"Retested",IF(OR($T211="",NOT(ISNUMBER($T211))),"Pending",IF(TODAY()&gt;$T211,"OVERDUE","Due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IF($Q212&lt;&gt;"Yes","",IF(COUNTIFS(nrES_PID,$D212,nrES_Code,$F212,nrES_Att,2)&gt;0,"Retested",IF(OR($T212="",NOT(ISNUMBER($T212))),"Pending",IF(TODAY()&gt;$T212,"OVERDUE","Due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IF($Q213&lt;&gt;"Yes","",IF(COUNTIFS(nrES_PID,$D213,nrES_Code,$F213,nrES_Att,2)&gt;0,"Retested",IF(OR($T213="",NOT(ISNUMBER($T213))),"Pending",IF(TODAY()&gt;$T213,"OVERDUE","Due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IF($Q214&lt;&gt;"Yes","",IF(COUNTIFS(nrES_PID,$D214,nrES_Code,$F214,nrES_Att,2)&gt;0,"Retested",IF(OR($T214="",NOT(ISNUMBER($T214))),"Pending",IF(TODAY()&gt;$T214,"OVERDUE","Due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IF($Q215&lt;&gt;"Yes","",IF(COUNTIFS(nrES_PID,$D215,nrES_Code,$F215,nrES_Att,2)&gt;0,"Retested",IF(OR($T215="",NOT(ISNUMBER($T215))),"Pending",IF(TODAY()&gt;$T215,"OVERDUE","Due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IF($Q216&lt;&gt;"Yes","",IF(COUNTIFS(nrES_PID,$D216,nrES_Code,$F216,nrES_Att,2)&gt;0,"Retested",IF(OR($T216="",NOT(ISNUMBER($T216))),"Pending",IF(TODAY()&gt;$T216,"OVERDUE","Due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IF($Q217&lt;&gt;"Yes","",IF(COUNTIFS(nrES_PID,$D217,nrES_Code,$F217,nrES_Att,2)&gt;0,"Retested",IF(OR($T217="",NOT(ISNUMBER($T217))),"Pending",IF(TODAY()&gt;$T217,"OVERDUE","Due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IF($Q218&lt;&gt;"Yes","",IF(COUNTIFS(nrES_PID,$D218,nrES_Code,$F218,nrES_Att,2)&gt;0,"Retested",IF(OR($T218="",NOT(ISNUMBER($T218))),"Pending",IF(TODAY()&gt;$T218,"OVERDUE","Due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IF($Q219&lt;&gt;"Yes","",IF(COUNTIFS(nrES_PID,$D219,nrES_Code,$F219,nrES_Att,2)&gt;0,"Retested",IF(OR($T219="",NOT(ISNUMBER($T219))),"Pending",IF(TODAY()&gt;$T219,"OVERDUE","Due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IF($Q220&lt;&gt;"Yes","",IF(COUNTIFS(nrES_PID,$D220,nrES_Code,$F220,nrES_Att,2)&gt;0,"Retested",IF(OR($T220="",NOT(ISNUMBER($T220))),"Pending",IF(TODAY()&gt;$T220,"OVERDUE","Due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IF($Q221&lt;&gt;"Yes","",IF(COUNTIFS(nrES_PID,$D221,nrES_Code,$F221,nrES_Att,2)&gt;0,"Retested",IF(OR($T221="",NOT(ISNUMBER($T221))),"Pending",IF(TODAY()&gt;$T221,"OVERDUE","Due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IF($Q222&lt;&gt;"Yes","",IF(COUNTIFS(nrES_PID,$D222,nrES_Code,$F222,nrES_Att,2)&gt;0,"Retested",IF(OR($T222="",NOT(ISNUMBER($T222))),"Pending",IF(TODAY()&gt;$T222,"OVERDUE","Due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IF($Q223&lt;&gt;"Yes","",IF(COUNTIFS(nrES_PID,$D223,nrES_Code,$F223,nrES_Att,2)&gt;0,"Retested",IF(OR($T223="",NOT(ISNUMBER($T223))),"Pending",IF(TODAY()&gt;$T223,"OVERDUE","Due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IF($Q224&lt;&gt;"Yes","",IF(COUNTIFS(nrES_PID,$D224,nrES_Code,$F224,nrES_Att,2)&gt;0,"Retested",IF(OR($T224="",NOT(ISNUMBER($T224))),"Pending",IF(TODAY()&gt;$T224,"OVERDUE","Due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IF($Q225&lt;&gt;"Yes","",IF(COUNTIFS(nrES_PID,$D225,nrES_Code,$F225,nrES_Att,2)&gt;0,"Retested",IF(OR($T225="",NOT(ISNUMBER($T225))),"Pending",IF(TODAY()&gt;$T225,"OVERDUE","Due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IF($Q226&lt;&gt;"Yes","",IF(COUNTIFS(nrES_PID,$D226,nrES_Code,$F226,nrES_Att,2)&gt;0,"Retested",IF(OR($T226="",NOT(ISNUMBER($T226))),"Pending",IF(TODAY()&gt;$T226,"OVERDUE","Due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IF($Q227&lt;&gt;"Yes","",IF(COUNTIFS(nrES_PID,$D227,nrES_Code,$F227,nrES_Att,2)&gt;0,"Retested",IF(OR($T227="",NOT(ISNUMBER($T227))),"Pending",IF(TODAY()&gt;$T227,"OVERDUE","Due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IF($Q228&lt;&gt;"Yes","",IF(COUNTIFS(nrES_PID,$D228,nrES_Code,$F228,nrES_Att,2)&gt;0,"Retested",IF(OR($T228="",NOT(ISNUMBER($T228))),"Pending",IF(TODAY()&gt;$T228,"OVERDUE","Due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IF($Q229&lt;&gt;"Yes","",IF(COUNTIFS(nrES_PID,$D229,nrES_Code,$F229,nrES_Att,2)&gt;0,"Retested",IF(OR($T229="",NOT(ISNUMBER($T229))),"Pending",IF(TODAY()&gt;$T229,"OVERDUE","Due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IF($Q230&lt;&gt;"Yes","",IF(COUNTIFS(nrES_PID,$D230,nrES_Code,$F230,nrES_Att,2)&gt;0,"Retested",IF(OR($T230="",NOT(ISNUMBER($T230))),"Pending",IF(TODAY()&gt;$T230,"OVERDUE","Due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IF($Q231&lt;&gt;"Yes","",IF(COUNTIFS(nrES_PID,$D231,nrES_Code,$F231,nrES_Att,2)&gt;0,"Retested",IF(OR($T231="",NOT(ISNUMBER($T231))),"Pending",IF(TODAY()&gt;$T231,"OVERDUE","Due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IF($Q232&lt;&gt;"Yes","",IF(COUNTIFS(nrES_PID,$D232,nrES_Code,$F232,nrES_Att,2)&gt;0,"Retested",IF(OR($T232="",NOT(ISNUMBER($T232))),"Pending",IF(TODAY()&gt;$T232,"OVERDUE","Due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IF($Q233&lt;&gt;"Yes","",IF(COUNTIFS(nrES_PID,$D233,nrES_Code,$F233,nrES_Att,2)&gt;0,"Retested",IF(OR($T233="",NOT(ISNUMBER($T233))),"Pending",IF(TODAY()&gt;$T233,"OVERDUE","Due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IF($Q234&lt;&gt;"Yes","",IF(COUNTIFS(nrES_PID,$D234,nrES_Code,$F234,nrES_Att,2)&gt;0,"Retested",IF(OR($T234="",NOT(ISNUMBER($T234))),"Pending",IF(TODAY()&gt;$T234,"OVERDUE","Due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IF($Q235&lt;&gt;"Yes","",IF(COUNTIFS(nrES_PID,$D235,nrES_Code,$F235,nrES_Att,2)&gt;0,"Retested",IF(OR($T235="",NOT(ISNUMBER($T235))),"Pending",IF(TODAY()&gt;$T235,"OVERDUE","Due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IF($Q236&lt;&gt;"Yes","",IF(COUNTIFS(nrES_PID,$D236,nrES_Code,$F236,nrES_Att,2)&gt;0,"Retested",IF(OR($T236="",NOT(ISNUMBER($T236))),"Pending",IF(TODAY()&gt;$T236,"OVERDUE","Due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IF($Q237&lt;&gt;"Yes","",IF(COUNTIFS(nrES_PID,$D237,nrES_Code,$F237,nrES_Att,2)&gt;0,"Retested",IF(OR($T237="",NOT(ISNUMBER($T237))),"Pending",IF(TODAY()&gt;$T237,"OVERDUE","Due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IF($Q238&lt;&gt;"Yes","",IF(COUNTIFS(nrES_PID,$D238,nrES_Code,$F238,nrES_Att,2)&gt;0,"Retested",IF(OR($T238="",NOT(ISNUMBER($T238))),"Pending",IF(TODAY()&gt;$T238,"OVERDUE","Due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IF($Q239&lt;&gt;"Yes","",IF(COUNTIFS(nrES_PID,$D239,nrES_Code,$F239,nrES_Att,2)&gt;0,"Retested",IF(OR($T239="",NOT(ISNUMBER($T239))),"Pending",IF(TODAY()&gt;$T239,"OVERDUE","Due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IF($Q240&lt;&gt;"Yes","",IF(COUNTIFS(nrES_PID,$D240,nrES_Code,$F240,nrES_Att,2)&gt;0,"Retested",IF(OR($T240="",NOT(ISNUMBER($T240))),"Pending",IF(TODAY()&gt;$T240,"OVERDUE","Due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IF($Q241&lt;&gt;"Yes","",IF(COUNTIFS(nrES_PID,$D241,nrES_Code,$F241,nrES_Att,2)&gt;0,"Retested",IF(OR($T241="",NOT(ISNUMBER($T241))),"Pending",IF(TODAY()&gt;$T241,"OVERDUE","Due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IF($Q242&lt;&gt;"Yes","",IF(COUNTIFS(nrES_PID,$D242,nrES_Code,$F242,nrES_Att,2)&gt;0,"Retested",IF(OR($T242="",NOT(ISNUMBER($T242))),"Pending",IF(TODAY()&gt;$T242,"OVERDUE","Due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IF($Q243&lt;&gt;"Yes","",IF(COUNTIFS(nrES_PID,$D243,nrES_Code,$F243,nrES_Att,2)&gt;0,"Retested",IF(OR($T243="",NOT(ISNUMBER($T243))),"Pending",IF(TODAY()&gt;$T243,"OVERDUE","Due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IF($Q244&lt;&gt;"Yes","",IF(COUNTIFS(nrES_PID,$D244,nrES_Code,$F244,nrES_Att,2)&gt;0,"Retested",IF(OR($T244="",NOT(ISNUMBER($T244))),"Pending",IF(TODAY()&gt;$T244,"OVERDUE","Due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IF($Q245&lt;&gt;"Yes","",IF(COUNTIFS(nrES_PID,$D245,nrES_Code,$F245,nrES_Att,2)&gt;0,"Retested",IF(OR($T245="",NOT(ISNUMBER($T245))),"Pending",IF(TODAY()&gt;$T245,"OVERDUE","Due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IF($Q246&lt;&gt;"Yes","",IF(COUNTIFS(nrES_PID,$D246,nrES_Code,$F246,nrES_Att,2)&gt;0,"Retested",IF(OR($T246="",NOT(ISNUMBER($T246))),"Pending",IF(TODAY()&gt;$T246,"OVERDUE","Due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IF($Q247&lt;&gt;"Yes","",IF(COUNTIFS(nrES_PID,$D247,nrES_Code,$F247,nrES_Att,2)&gt;0,"Retested",IF(OR($T247="",NOT(ISNUMBER($T247))),"Pending",IF(TODAY()&gt;$T247,"OVERDUE","Due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IF($Q248&lt;&gt;"Yes","",IF(COUNTIFS(nrES_PID,$D248,nrES_Code,$F248,nrES_Att,2)&gt;0,"Retested",IF(OR($T248="",NOT(ISNUMBER($T248))),"Pending",IF(TODAY()&gt;$T248,"OVERDUE","Due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IF($Q249&lt;&gt;"Yes","",IF(COUNTIFS(nrES_PID,$D249,nrES_Code,$F249,nrES_Att,2)&gt;0,"Retested",IF(OR($T249="",NOT(ISNUMBER($T249))),"Pending",IF(TODAY()&gt;$T249,"OVERDUE","Due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IF($Q250&lt;&gt;"Yes","",IF(COUNTIFS(nrES_PID,$D250,nrES_Code,$F250,nrES_Att,2)&gt;0,"Retested",IF(OR($T250="",NOT(ISNUMBER($T250))),"Pending",IF(TODAY()&gt;$T250,"OVERDUE","Due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IF($Q251&lt;&gt;"Yes","",IF(COUNTIFS(nrES_PID,$D251,nrES_Code,$F251,nrES_Att,2)&gt;0,"Retested",IF(OR($T251="",NOT(ISNUMBER($T251))),"Pending",IF(TODAY()&gt;$T251,"OVERDUE","Due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IF($Q252&lt;&gt;"Yes","",IF(COUNTIFS(nrES_PID,$D252,nrES_Code,$F252,nrES_Att,2)&gt;0,"Retested",IF(OR($T252="",NOT(ISNUMBER($T252))),"Pending",IF(TODAY()&gt;$T252,"OVERDUE","Due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IF($Q253&lt;&gt;"Yes","",IF(COUNTIFS(nrES_PID,$D253,nrES_Code,$F253,nrES_Att,2)&gt;0,"Retested",IF(OR($T253="",NOT(ISNUMBER($T253))),"Pending",IF(TODAY()&gt;$T253,"OVERDUE","Due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IF($Q254&lt;&gt;"Yes","",IF(COUNTIFS(nrES_PID,$D254,nrES_Code,$F254,nrES_Att,2)&gt;0,"Retested",IF(OR($T254="",NOT(ISNUMBER($T254))),"Pending",IF(TODAY()&gt;$T254,"OVERDUE","Due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IF($Q255&lt;&gt;"Yes","",IF(COUNTIFS(nrES_PID,$D255,nrES_Code,$F255,nrES_Att,2)&gt;0,"Retested",IF(OR($T255="",NOT(ISNUMBER($T255))),"Pending",IF(TODAY()&gt;$T255,"OVERDUE","Due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IF($Q256&lt;&gt;"Yes","",IF(COUNTIFS(nrES_PID,$D256,nrES_Code,$F256,nrES_Att,2)&gt;0,"Retested",IF(OR($T256="",NOT(ISNUMBER($T256))),"Pending",IF(TODAY()&gt;$T256,"OVERDUE","Due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IF($Q257&lt;&gt;"Yes","",IF(COUNTIFS(nrES_PID,$D257,nrES_Code,$F257,nrES_Att,2)&gt;0,"Retested",IF(OR($T257="",NOT(ISNUMBER($T257))),"Pending",IF(TODAY()&gt;$T257,"OVERDUE","Due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IF($Q258&lt;&gt;"Yes","",IF(COUNTIFS(nrES_PID,$D258,nrES_Code,$F258,nrES_Att,2)&gt;0,"Retested",IF(OR($T258="",NOT(ISNUMBER($T258))),"Pending",IF(TODAY()&gt;$T258,"OVERDUE","Due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IF($Q259&lt;&gt;"Yes","",IF(COUNTIFS(nrES_PID,$D259,nrES_Code,$F259,nrES_Att,2)&gt;0,"Retested",IF(OR($T259="",NOT(ISNUMBER($T259))),"Pending",IF(TODAY()&gt;$T259,"OVERDUE","Due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IF($Q260&lt;&gt;"Yes","",IF(COUNTIFS(nrES_PID,$D260,nrES_Code,$F260,nrES_Att,2)&gt;0,"Retested",IF(OR($T260="",NOT(ISNUMBER($T260))),"Pending",IF(TODAY()&gt;$T260,"OVERDUE","Due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IF($Q261&lt;&gt;"Yes","",IF(COUNTIFS(nrES_PID,$D261,nrES_Code,$F261,nrES_Att,2)&gt;0,"Retested",IF(OR($T261="",NOT(ISNUMBER($T261))),"Pending",IF(TODAY()&gt;$T261,"OVERDUE","Due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IF($Q262&lt;&gt;"Yes","",IF(COUNTIFS(nrES_PID,$D262,nrES_Code,$F262,nrES_Att,2)&gt;0,"Retested",IF(OR($T262="",NOT(ISNUMBER($T262))),"Pending",IF(TODAY()&gt;$T262,"OVERDUE","Due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IF($Q263&lt;&gt;"Yes","",IF(COUNTIFS(nrES_PID,$D263,nrES_Code,$F263,nrES_Att,2)&gt;0,"Retested",IF(OR($T263="",NOT(ISNUMBER($T263))),"Pending",IF(TODAY()&gt;$T263,"OVERDUE","Due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IF($Q264&lt;&gt;"Yes","",IF(COUNTIFS(nrES_PID,$D264,nrES_Code,$F264,nrES_Att,2)&gt;0,"Retested",IF(OR($T264="",NOT(ISNUMBER($T264))),"Pending",IF(TODAY()&gt;$T264,"OVERDUE","Due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IF($Q265&lt;&gt;"Yes","",IF(COUNTIFS(nrES_PID,$D265,nrES_Code,$F265,nrES_Att,2)&gt;0,"Retested",IF(OR($T265="",NOT(ISNUMBER($T265))),"Pending",IF(TODAY()&gt;$T265,"OVERDUE","Due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IF($Q266&lt;&gt;"Yes","",IF(COUNTIFS(nrES_PID,$D266,nrES_Code,$F266,nrES_Att,2)&gt;0,"Retested",IF(OR($T266="",NOT(ISNUMBER($T266))),"Pending",IF(TODAY()&gt;$T266,"OVERDUE","Due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IF($Q267&lt;&gt;"Yes","",IF(COUNTIFS(nrES_PID,$D267,nrES_Code,$F267,nrES_Att,2)&gt;0,"Retested",IF(OR($T267="",NOT(ISNUMBER($T267))),"Pending",IF(TODAY()&gt;$T267,"OVERDUE","Due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IF($Q268&lt;&gt;"Yes","",IF(COUNTIFS(nrES_PID,$D268,nrES_Code,$F268,nrES_Att,2)&gt;0,"Retested",IF(OR($T268="",NOT(ISNUMBER($T268))),"Pending",IF(TODAY()&gt;$T268,"OVERDUE","Due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IF($Q269&lt;&gt;"Yes","",IF(COUNTIFS(nrES_PID,$D269,nrES_Code,$F269,nrES_Att,2)&gt;0,"Retested",IF(OR($T269="",NOT(ISNUMBER($T269))),"Pending",IF(TODAY()&gt;$T269,"OVERDUE","Due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IF($Q270&lt;&gt;"Yes","",IF(COUNTIFS(nrES_PID,$D270,nrES_Code,$F270,nrES_Att,2)&gt;0,"Retested",IF(OR($T270="",NOT(ISNUMBER($T270))),"Pending",IF(TODAY()&gt;$T270,"OVERDUE","Due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IF($Q271&lt;&gt;"Yes","",IF(COUNTIFS(nrES_PID,$D271,nrES_Code,$F271,nrES_Att,2)&gt;0,"Retested",IF(OR($T271="",NOT(ISNUMBER($T271))),"Pending",IF(TODAY()&gt;$T271,"OVERDUE","Due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IF($Q272&lt;&gt;"Yes","",IF(COUNTIFS(nrES_PID,$D272,nrES_Code,$F272,nrES_Att,2)&gt;0,"Retested",IF(OR($T272="",NOT(ISNUMBER($T272))),"Pending",IF(TODAY()&gt;$T272,"OVERDUE","Due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IF($Q273&lt;&gt;"Yes","",IF(COUNTIFS(nrES_PID,$D273,nrES_Code,$F273,nrES_Att,2)&gt;0,"Retested",IF(OR($T273="",NOT(ISNUMBER($T273))),"Pending",IF(TODAY()&gt;$T273,"OVERDUE","Due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IF($Q274&lt;&gt;"Yes","",IF(COUNTIFS(nrES_PID,$D274,nrES_Code,$F274,nrES_Att,2)&gt;0,"Retested",IF(OR($T274="",NOT(ISNUMBER($T274))),"Pending",IF(TODAY()&gt;$T274,"OVERDUE","Due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IF($Q275&lt;&gt;"Yes","",IF(COUNTIFS(nrES_PID,$D275,nrES_Code,$F275,nrES_Att,2)&gt;0,"Retested",IF(OR($T275="",NOT(ISNUMBER($T275))),"Pending",IF(TODAY()&gt;$T275,"OVERDUE","Due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IF($Q276&lt;&gt;"Yes","",IF(COUNTIFS(nrES_PID,$D276,nrES_Code,$F276,nrES_Att,2)&gt;0,"Retested",IF(OR($T276="",NOT(ISNUMBER($T276))),"Pending",IF(TODAY()&gt;$T276,"OVERDUE","Due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IF($Q277&lt;&gt;"Yes","",IF(COUNTIFS(nrES_PID,$D277,nrES_Code,$F277,nrES_Att,2)&gt;0,"Retested",IF(OR($T277="",NOT(ISNUMBER($T277))),"Pending",IF(TODAY()&gt;$T277,"OVERDUE","Due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IF($Q278&lt;&gt;"Yes","",IF(COUNTIFS(nrES_PID,$D278,nrES_Code,$F278,nrES_Att,2)&gt;0,"Retested",IF(OR($T278="",NOT(ISNUMBER($T278))),"Pending",IF(TODAY()&gt;$T278,"OVERDUE","Due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IF($Q279&lt;&gt;"Yes","",IF(COUNTIFS(nrES_PID,$D279,nrES_Code,$F279,nrES_Att,2)&gt;0,"Retested",IF(OR($T279="",NOT(ISNUMBER($T279))),"Pending",IF(TODAY()&gt;$T279,"OVERDUE","Due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IF($Q280&lt;&gt;"Yes","",IF(COUNTIFS(nrES_PID,$D280,nrES_Code,$F280,nrES_Att,2)&gt;0,"Retested",IF(OR($T280="",NOT(ISNUMBER($T280))),"Pending",IF(TODAY()&gt;$T280,"OVERDUE","Due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IF($Q281&lt;&gt;"Yes","",IF(COUNTIFS(nrES_PID,$D281,nrES_Code,$F281,nrES_Att,2)&gt;0,"Retested",IF(OR($T281="",NOT(ISNUMBER($T281))),"Pending",IF(TODAY()&gt;$T281,"OVERDUE","Due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IF($Q282&lt;&gt;"Yes","",IF(COUNTIFS(nrES_PID,$D282,nrES_Code,$F282,nrES_Att,2)&gt;0,"Retested",IF(OR($T282="",NOT(ISNUMBER($T282))),"Pending",IF(TODAY()&gt;$T282,"OVERDUE","Due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IF($Q283&lt;&gt;"Yes","",IF(COUNTIFS(nrES_PID,$D283,nrES_Code,$F283,nrES_Att,2)&gt;0,"Retested",IF(OR($T283="",NOT(ISNUMBER($T283))),"Pending",IF(TODAY()&gt;$T283,"OVERDUE","Due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IF($Q284&lt;&gt;"Yes","",IF(COUNTIFS(nrES_PID,$D284,nrES_Code,$F284,nrES_Att,2)&gt;0,"Retested",IF(OR($T284="",NOT(ISNUMBER($T284))),"Pending",IF(TODAY()&gt;$T284,"OVERDUE","Due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IF($Q285&lt;&gt;"Yes","",IF(COUNTIFS(nrES_PID,$D285,nrES_Code,$F285,nrES_Att,2)&gt;0,"Retested",IF(OR($T285="",NOT(ISNUMBER($T285))),"Pending",IF(TODAY()&gt;$T285,"OVERDUE","Due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IF($Q286&lt;&gt;"Yes","",IF(COUNTIFS(nrES_PID,$D286,nrES_Code,$F286,nrES_Att,2)&gt;0,"Retested",IF(OR($T286="",NOT(ISNUMBER($T286))),"Pending",IF(TODAY()&gt;$T286,"OVERDUE","Due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IF($Q287&lt;&gt;"Yes","",IF(COUNTIFS(nrES_PID,$D287,nrES_Code,$F287,nrES_Att,2)&gt;0,"Retested",IF(OR($T287="",NOT(ISNUMBER($T287))),"Pending",IF(TODAY()&gt;$T287,"OVERDUE","Due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IF($Q288&lt;&gt;"Yes","",IF(COUNTIFS(nrES_PID,$D288,nrES_Code,$F288,nrES_Att,2)&gt;0,"Retested",IF(OR($T288="",NOT(ISNUMBER($T288))),"Pending",IF(TODAY()&gt;$T288,"OVERDUE","Due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IF($Q289&lt;&gt;"Yes","",IF(COUNTIFS(nrES_PID,$D289,nrES_Code,$F289,nrES_Att,2)&gt;0,"Retested",IF(OR($T289="",NOT(ISNUMBER($T289))),"Pending",IF(TODAY()&gt;$T289,"OVERDUE","Due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IF($Q290&lt;&gt;"Yes","",IF(COUNTIFS(nrES_PID,$D290,nrES_Code,$F290,nrES_Att,2)&gt;0,"Retested",IF(OR($T290="",NOT(ISNUMBER($T290))),"Pending",IF(TODAY()&gt;$T290,"OVERDUE","Due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IF($Q291&lt;&gt;"Yes","",IF(COUNTIFS(nrES_PID,$D291,nrES_Code,$F291,nrES_Att,2)&gt;0,"Retested",IF(OR($T291="",NOT(ISNUMBER($T291))),"Pending",IF(TODAY()&gt;$T291,"OVERDUE","Due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IF($Q292&lt;&gt;"Yes","",IF(COUNTIFS(nrES_PID,$D292,nrES_Code,$F292,nrES_Att,2)&gt;0,"Retested",IF(OR($T292="",NOT(ISNUMBER($T292))),"Pending",IF(TODAY()&gt;$T292,"OVERDUE","Due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IF($Q293&lt;&gt;"Yes","",IF(COUNTIFS(nrES_PID,$D293,nrES_Code,$F293,nrES_Att,2)&gt;0,"Retested",IF(OR($T293="",NOT(ISNUMBER($T293))),"Pending",IF(TODAY()&gt;$T293,"OVERDUE","Due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IF($Q294&lt;&gt;"Yes","",IF(COUNTIFS(nrES_PID,$D294,nrES_Code,$F294,nrES_Att,2)&gt;0,"Retested",IF(OR($T294="",NOT(ISNUMBER($T294))),"Pending",IF(TODAY()&gt;$T294,"OVERDUE","Due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IF($Q295&lt;&gt;"Yes","",IF(COUNTIFS(nrES_PID,$D295,nrES_Code,$F295,nrES_Att,2)&gt;0,"Retested",IF(OR($T295="",NOT(ISNUMBER($T295))),"Pending",IF(TODAY()&gt;$T295,"OVERDUE","Due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IF($Q296&lt;&gt;"Yes","",IF(COUNTIFS(nrES_PID,$D296,nrES_Code,$F296,nrES_Att,2)&gt;0,"Retested",IF(OR($T296="",NOT(ISNUMBER($T296))),"Pending",IF(TODAY()&gt;$T296,"OVERDUE","Due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IF($Q297&lt;&gt;"Yes","",IF(COUNTIFS(nrES_PID,$D297,nrES_Code,$F297,nrES_Att,2)&gt;0,"Retested",IF(OR($T297="",NOT(ISNUMBER($T297))),"Pending",IF(TODAY()&gt;$T297,"OVERDUE","Due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IF($Q298&lt;&gt;"Yes","",IF(COUNTIFS(nrES_PID,$D298,nrES_Code,$F298,nrES_Att,2)&gt;0,"Retested",IF(OR($T298="",NOT(ISNUMBER($T298))),"Pending",IF(TODAY()&gt;$T298,"OVERDUE","Due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IF($Q299&lt;&gt;"Yes","",IF(COUNTIFS(nrES_PID,$D299,nrES_Code,$F299,nrES_Att,2)&gt;0,"Retested",IF(OR($T299="",NOT(ISNUMBER($T299))),"Pending",IF(TODAY()&gt;$T299,"OVERDUE","Due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IF($Q300&lt;&gt;"Yes","",IF(COUNTIFS(nrES_PID,$D300,nrES_Code,$F300,nrES_Att,2)&gt;0,"Retested",IF(OR($T300="",NOT(ISNUMBER($T300))),"Pending",IF(TODAY()&gt;$T300,"OVERDUE","Due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IF($Q301&lt;&gt;"Yes","",IF(COUNTIFS(nrES_PID,$D301,nrES_Code,$F301,nrES_Att,2)&gt;0,"Retested",IF(OR($T301="",NOT(ISNUMBER($T301))),"Pending",IF(TODAY()&gt;$T301,"OVERDUE","Due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IF($Q302&lt;&gt;"Yes","",IF(COUNTIFS(nrES_PID,$D302,nrES_Code,$F302,nrES_Att,2)&gt;0,"Retested",IF(OR($T302="",NOT(ISNUMBER($T302))),"Pending",IF(TODAY()&gt;$T302,"OVERDUE","Due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IF($Q303&lt;&gt;"Yes","",IF(COUNTIFS(nrES_PID,$D303,nrES_Code,$F303,nrES_Att,2)&gt;0,"Retested",IF(OR($T303="",NOT(ISNUMBER($T303))),"Pending",IF(TODAY()&gt;$T303,"OVERDUE","Due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IF($Q304&lt;&gt;"Yes","",IF(COUNTIFS(nrES_PID,$D304,nrES_Code,$F304,nrES_Att,2)&gt;0,"Retested",IF(OR($T304="",NOT(ISNUMBER($T304))),"Pending",IF(TODAY()&gt;$T304,"OVERDUE","Due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IF($Q305&lt;&gt;"Yes","",IF(COUNTIFS(nrES_PID,$D305,nrES_Code,$F305,nrES_Att,2)&gt;0,"Retested",IF(OR($T305="",NOT(ISNUMBER($T305))),"Pending",IF(TODAY()&gt;$T305,"OVERDUE","Due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IF($Q306&lt;&gt;"Yes","",IF(COUNTIFS(nrES_PID,$D306,nrES_Code,$F306,nrES_Att,2)&gt;0,"Retested",IF(OR($T306="",NOT(ISNUMBER($T306))),"Pending",IF(TODAY()&gt;$T306,"OVERDUE","Due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IF($Q307&lt;&gt;"Yes","",IF(COUNTIFS(nrES_PID,$D307,nrES_Code,$F307,nrES_Att,2)&gt;0,"Retested",IF(OR($T307="",NOT(ISNUMBER($T307))),"Pending",IF(TODAY()&gt;$T307,"OVERDUE","Due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IF($Q308&lt;&gt;"Yes","",IF(COUNTIFS(nrES_PID,$D308,nrES_Code,$F308,nrES_Att,2)&gt;0,"Retested",IF(OR($T308="",NOT(ISNUMBER($T308))),"Pending",IF(TODAY()&gt;$T308,"OVERDUE","Due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IF($Q309&lt;&gt;"Yes","",IF(COUNTIFS(nrES_PID,$D309,nrES_Code,$F309,nrES_Att,2)&gt;0,"Retested",IF(OR($T309="",NOT(ISNUMBER($T309))),"Pending",IF(TODAY()&gt;$T309,"OVERDUE","Due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IF($Q310&lt;&gt;"Yes","",IF(COUNTIFS(nrES_PID,$D310,nrES_Code,$F310,nrES_Att,2)&gt;0,"Retested",IF(OR($T310="",NOT(ISNUMBER($T310))),"Pending",IF(TODAY()&gt;$T310,"OVERDUE","Due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IF($Q311&lt;&gt;"Yes","",IF(COUNTIFS(nrES_PID,$D311,nrES_Code,$F311,nrES_Att,2)&gt;0,"Retested",IF(OR($T311="",NOT(ISNUMBER($T311))),"Pending",IF(TODAY()&gt;$T311,"OVERDUE","Due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IF($Q312&lt;&gt;"Yes","",IF(COUNTIFS(nrES_PID,$D312,nrES_Code,$F312,nrES_Att,2)&gt;0,"Retested",IF(OR($T312="",NOT(ISNUMBER($T312))),"Pending",IF(TODAY()&gt;$T312,"OVERDUE","Due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IF($Q313&lt;&gt;"Yes","",IF(COUNTIFS(nrES_PID,$D313,nrES_Code,$F313,nrES_Att,2)&gt;0,"Retested",IF(OR($T313="",NOT(ISNUMBER($T313))),"Pending",IF(TODAY()&gt;$T313,"OVERDUE","Due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IF($Q314&lt;&gt;"Yes","",IF(COUNTIFS(nrES_PID,$D314,nrES_Code,$F314,nrES_Att,2)&gt;0,"Retested",IF(OR($T314="",NOT(ISNUMBER($T314))),"Pending",IF(TODAY()&gt;$T314,"OVERDUE","Due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IF($Q315&lt;&gt;"Yes","",IF(COUNTIFS(nrES_PID,$D315,nrES_Code,$F315,nrES_Att,2)&gt;0,"Retested",IF(OR($T315="",NOT(ISNUMBER($T315))),"Pending",IF(TODAY()&gt;$T315,"OVERDUE","Due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IF($Q316&lt;&gt;"Yes","",IF(COUNTIFS(nrES_PID,$D316,nrES_Code,$F316,nrES_Att,2)&gt;0,"Retested",IF(OR($T316="",NOT(ISNUMBER($T316))),"Pending",IF(TODAY()&gt;$T316,"OVERDUE","Due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IF($Q317&lt;&gt;"Yes","",IF(COUNTIFS(nrES_PID,$D317,nrES_Code,$F317,nrES_Att,2)&gt;0,"Retested",IF(OR($T317="",NOT(ISNUMBER($T317))),"Pending",IF(TODAY()&gt;$T317,"OVERDUE","Due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IF($Q318&lt;&gt;"Yes","",IF(COUNTIFS(nrES_PID,$D318,nrES_Code,$F318,nrES_Att,2)&gt;0,"Retested",IF(OR($T318="",NOT(ISNUMBER($T318))),"Pending",IF(TODAY()&gt;$T318,"OVERDUE","Due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IF($Q319&lt;&gt;"Yes","",IF(COUNTIFS(nrES_PID,$D319,nrES_Code,$F319,nrES_Att,2)&gt;0,"Retested",IF(OR($T319="",NOT(ISNUMBER($T319))),"Pending",IF(TODAY()&gt;$T319,"OVERDUE","Due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IF($Q320&lt;&gt;"Yes","",IF(COUNTIFS(nrES_PID,$D320,nrES_Code,$F320,nrES_Att,2)&gt;0,"Retested",IF(OR($T320="",NOT(ISNUMBER($T320))),"Pending",IF(TODAY()&gt;$T320,"OVERDUE","Due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IF($Q321&lt;&gt;"Yes","",IF(COUNTIFS(nrES_PID,$D321,nrES_Code,$F321,nrES_Att,2)&gt;0,"Retested",IF(OR($T321="",NOT(ISNUMBER($T321))),"Pending",IF(TODAY()&gt;$T321,"OVERDUE","Due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IF($Q322&lt;&gt;"Yes","",IF(COUNTIFS(nrES_PID,$D322,nrES_Code,$F322,nrES_Att,2)&gt;0,"Retested",IF(OR($T322="",NOT(ISNUMBER($T322))),"Pending",IF(TODAY()&gt;$T322,"OVERDUE","Due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IF($Q323&lt;&gt;"Yes","",IF(COUNTIFS(nrES_PID,$D323,nrES_Code,$F323,nrES_Att,2)&gt;0,"Retested",IF(OR($T323="",NOT(ISNUMBER($T323))),"Pending",IF(TODAY()&gt;$T323,"OVERDUE","Due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IF($Q324&lt;&gt;"Yes","",IF(COUNTIFS(nrES_PID,$D324,nrES_Code,$F324,nrES_Att,2)&gt;0,"Retested",IF(OR($T324="",NOT(ISNUMBER($T324))),"Pending",IF(TODAY()&gt;$T324,"OVERDUE","Due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IF($Q325&lt;&gt;"Yes","",IF(COUNTIFS(nrES_PID,$D325,nrES_Code,$F325,nrES_Att,2)&gt;0,"Retested",IF(OR($T325="",NOT(ISNUMBER($T325))),"Pending",IF(TODAY()&gt;$T325,"OVERDUE","Due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IF($Q326&lt;&gt;"Yes","",IF(COUNTIFS(nrES_PID,$D326,nrES_Code,$F326,nrES_Att,2)&gt;0,"Retested",IF(OR($T326="",NOT(ISNUMBER($T326))),"Pending",IF(TODAY()&gt;$T326,"OVERDUE","Due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IF($Q327&lt;&gt;"Yes","",IF(COUNTIFS(nrES_PID,$D327,nrES_Code,$F327,nrES_Att,2)&gt;0,"Retested",IF(OR($T327="",NOT(ISNUMBER($T327))),"Pending",IF(TODAY()&gt;$T327,"OVERDUE","Due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IF($Q328&lt;&gt;"Yes","",IF(COUNTIFS(nrES_PID,$D328,nrES_Code,$F328,nrES_Att,2)&gt;0,"Retested",IF(OR($T328="",NOT(ISNUMBER($T328))),"Pending",IF(TODAY()&gt;$T328,"OVERDUE","Due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IF($Q329&lt;&gt;"Yes","",IF(COUNTIFS(nrES_PID,$D329,nrES_Code,$F329,nrES_Att,2)&gt;0,"Retested",IF(OR($T329="",NOT(ISNUMBER($T329))),"Pending",IF(TODAY()&gt;$T329,"OVERDUE","Due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IF($Q330&lt;&gt;"Yes","",IF(COUNTIFS(nrES_PID,$D330,nrES_Code,$F330,nrES_Att,2)&gt;0,"Retested",IF(OR($T330="",NOT(ISNUMBER($T330))),"Pending",IF(TODAY()&gt;$T330,"OVERDUE","Due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IF($Q331&lt;&gt;"Yes","",IF(COUNTIFS(nrES_PID,$D331,nrES_Code,$F331,nrES_Att,2)&gt;0,"Retested",IF(OR($T331="",NOT(ISNUMBER($T331))),"Pending",IF(TODAY()&gt;$T331,"OVERDUE","Due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IF($Q332&lt;&gt;"Yes","",IF(COUNTIFS(nrES_PID,$D332,nrES_Code,$F332,nrES_Att,2)&gt;0,"Retested",IF(OR($T332="",NOT(ISNUMBER($T332))),"Pending",IF(TODAY()&gt;$T332,"OVERDUE","Due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IF($Q333&lt;&gt;"Yes","",IF(COUNTIFS(nrES_PID,$D333,nrES_Code,$F333,nrES_Att,2)&gt;0,"Retested",IF(OR($T333="",NOT(ISNUMBER($T333))),"Pending",IF(TODAY()&gt;$T333,"OVERDUE","Due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IF($Q334&lt;&gt;"Yes","",IF(COUNTIFS(nrES_PID,$D334,nrES_Code,$F334,nrES_Att,2)&gt;0,"Retested",IF(OR($T334="",NOT(ISNUMBER($T334))),"Pending",IF(TODAY()&gt;$T334,"OVERDUE","Due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IF($Q335&lt;&gt;"Yes","",IF(COUNTIFS(nrES_PID,$D335,nrES_Code,$F335,nrES_Att,2)&gt;0,"Retested",IF(OR($T335="",NOT(ISNUMBER($T335))),"Pending",IF(TODAY()&gt;$T335,"OVERDUE","Due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IF($Q336&lt;&gt;"Yes","",IF(COUNTIFS(nrES_PID,$D336,nrES_Code,$F336,nrES_Att,2)&gt;0,"Retested",IF(OR($T336="",NOT(ISNUMBER($T336))),"Pending",IF(TODAY()&gt;$T336,"OVERDUE","Due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IF($Q337&lt;&gt;"Yes","",IF(COUNTIFS(nrES_PID,$D337,nrES_Code,$F337,nrES_Att,2)&gt;0,"Retested",IF(OR($T337="",NOT(ISNUMBER($T337))),"Pending",IF(TODAY()&gt;$T337,"OVERDUE","Due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IF($Q338&lt;&gt;"Yes","",IF(COUNTIFS(nrES_PID,$D338,nrES_Code,$F338,nrES_Att,2)&gt;0,"Retested",IF(OR($T338="",NOT(ISNUMBER($T338))),"Pending",IF(TODAY()&gt;$T338,"OVERDUE","Due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IF($Q339&lt;&gt;"Yes","",IF(COUNTIFS(nrES_PID,$D339,nrES_Code,$F339,nrES_Att,2)&gt;0,"Retested",IF(OR($T339="",NOT(ISNUMBER($T339))),"Pending",IF(TODAY()&gt;$T339,"OVERDUE","Due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IF($Q340&lt;&gt;"Yes","",IF(COUNTIFS(nrES_PID,$D340,nrES_Code,$F340,nrES_Att,2)&gt;0,"Retested",IF(OR($T340="",NOT(ISNUMBER($T340))),"Pending",IF(TODAY()&gt;$T340,"OVERDUE","Due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IF($Q341&lt;&gt;"Yes","",IF(COUNTIFS(nrES_PID,$D341,nrES_Code,$F341,nrES_Att,2)&gt;0,"Retested",IF(OR($T341="",NOT(ISNUMBER($T341))),"Pending",IF(TODAY()&gt;$T341,"OVERDUE","Due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IF($Q342&lt;&gt;"Yes","",IF(COUNTIFS(nrES_PID,$D342,nrES_Code,$F342,nrES_Att,2)&gt;0,"Retested",IF(OR($T342="",NOT(ISNUMBER($T342))),"Pending",IF(TODAY()&gt;$T342,"OVERDUE","Due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IF($Q343&lt;&gt;"Yes","",IF(COUNTIFS(nrES_PID,$D343,nrES_Code,$F343,nrES_Att,2)&gt;0,"Retested",IF(OR($T343="",NOT(ISNUMBER($T343))),"Pending",IF(TODAY()&gt;$T343,"OVERDUE","Due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IF($Q344&lt;&gt;"Yes","",IF(COUNTIFS(nrES_PID,$D344,nrES_Code,$F344,nrES_Att,2)&gt;0,"Retested",IF(OR($T344="",NOT(ISNUMBER($T344))),"Pending",IF(TODAY()&gt;$T344,"OVERDUE","Due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IF($Q345&lt;&gt;"Yes","",IF(COUNTIFS(nrES_PID,$D345,nrES_Code,$F345,nrES_Att,2)&gt;0,"Retested",IF(OR($T345="",NOT(ISNUMBER($T345))),"Pending",IF(TODAY()&gt;$T345,"OVERDUE","Due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IF($Q346&lt;&gt;"Yes","",IF(COUNTIFS(nrES_PID,$D346,nrES_Code,$F346,nrES_Att,2)&gt;0,"Retested",IF(OR($T346="",NOT(ISNUMBER($T346))),"Pending",IF(TODAY()&gt;$T346,"OVERDUE","Due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IF($Q347&lt;&gt;"Yes","",IF(COUNTIFS(nrES_PID,$D347,nrES_Code,$F347,nrES_Att,2)&gt;0,"Retested",IF(OR($T347="",NOT(ISNUMBER($T347))),"Pending",IF(TODAY()&gt;$T347,"OVERDUE","Due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IF($Q348&lt;&gt;"Yes","",IF(COUNTIFS(nrES_PID,$D348,nrES_Code,$F348,nrES_Att,2)&gt;0,"Retested",IF(OR($T348="",NOT(ISNUMBER($T348))),"Pending",IF(TODAY()&gt;$T348,"OVERDUE","Due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IF($Q349&lt;&gt;"Yes","",IF(COUNTIFS(nrES_PID,$D349,nrES_Code,$F349,nrES_Att,2)&gt;0,"Retested",IF(OR($T349="",NOT(ISNUMBER($T349))),"Pending",IF(TODAY()&gt;$T349,"OVERDUE","Due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IF($Q350&lt;&gt;"Yes","",IF(COUNTIFS(nrES_PID,$D350,nrES_Code,$F350,nrES_Att,2)&gt;0,"Retested",IF(OR($T350="",NOT(ISNUMBER($T350))),"Pending",IF(TODAY()&gt;$T350,"OVERDUE","Due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IF($Q351&lt;&gt;"Yes","",IF(COUNTIFS(nrES_PID,$D351,nrES_Code,$F351,nrES_Att,2)&gt;0,"Retested",IF(OR($T351="",NOT(ISNUMBER($T351))),"Pending",IF(TODAY()&gt;$T351,"OVERDUE","Due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IF($Q352&lt;&gt;"Yes","",IF(COUNTIFS(nrES_PID,$D352,nrES_Code,$F352,nrES_Att,2)&gt;0,"Retested",IF(OR($T352="",NOT(ISNUMBER($T352))),"Pending",IF(TODAY()&gt;$T352,"OVERDUE","Due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IF($Q353&lt;&gt;"Yes","",IF(COUNTIFS(nrES_PID,$D353,nrES_Code,$F353,nrES_Att,2)&gt;0,"Retested",IF(OR($T353="",NOT(ISNUMBER($T353))),"Pending",IF(TODAY()&gt;$T353,"OVERDUE","Due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IF($Q354&lt;&gt;"Yes","",IF(COUNTIFS(nrES_PID,$D354,nrES_Code,$F354,nrES_Att,2)&gt;0,"Retested",IF(OR($T354="",NOT(ISNUMBER($T354))),"Pending",IF(TODAY()&gt;$T354,"OVERDUE","Due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IF($Q355&lt;&gt;"Yes","",IF(COUNTIFS(nrES_PID,$D355,nrES_Code,$F355,nrES_Att,2)&gt;0,"Retested",IF(OR($T355="",NOT(ISNUMBER($T355))),"Pending",IF(TODAY()&gt;$T355,"OVERDUE","Due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IF($Q356&lt;&gt;"Yes","",IF(COUNTIFS(nrES_PID,$D356,nrES_Code,$F356,nrES_Att,2)&gt;0,"Retested",IF(OR($T356="",NOT(ISNUMBER($T356))),"Pending",IF(TODAY()&gt;$T356,"OVERDUE","Due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IF($Q357&lt;&gt;"Yes","",IF(COUNTIFS(nrES_PID,$D357,nrES_Code,$F357,nrES_Att,2)&gt;0,"Retested",IF(OR($T357="",NOT(ISNUMBER($T357))),"Pending",IF(TODAY()&gt;$T357,"OVERDUE","Due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IF($Q358&lt;&gt;"Yes","",IF(COUNTIFS(nrES_PID,$D358,nrES_Code,$F358,nrES_Att,2)&gt;0,"Retested",IF(OR($T358="",NOT(ISNUMBER($T358))),"Pending",IF(TODAY()&gt;$T358,"OVERDUE","Due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IF($Q359&lt;&gt;"Yes","",IF(COUNTIFS(nrES_PID,$D359,nrES_Code,$F359,nrES_Att,2)&gt;0,"Retested",IF(OR($T359="",NOT(ISNUMBER($T359))),"Pending",IF(TODAY()&gt;$T359,"OVERDUE","Due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IF($Q360&lt;&gt;"Yes","",IF(COUNTIFS(nrES_PID,$D360,nrES_Code,$F360,nrES_Att,2)&gt;0,"Retested",IF(OR($T360="",NOT(ISNUMBER($T360))),"Pending",IF(TODAY()&gt;$T360,"OVERDUE","Due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IF($Q361&lt;&gt;"Yes","",IF(COUNTIFS(nrES_PID,$D361,nrES_Code,$F361,nrES_Att,2)&gt;0,"Retested",IF(OR($T361="",NOT(ISNUMBER($T361))),"Pending",IF(TODAY()&gt;$T361,"OVERDUE","Due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IF($Q362&lt;&gt;"Yes","",IF(COUNTIFS(nrES_PID,$D362,nrES_Code,$F362,nrES_Att,2)&gt;0,"Retested",IF(OR($T362="",NOT(ISNUMBER($T362))),"Pending",IF(TODAY()&gt;$T362,"OVERDUE","Due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IF($Q363&lt;&gt;"Yes","",IF(COUNTIFS(nrES_PID,$D363,nrES_Code,$F363,nrES_Att,2)&gt;0,"Retested",IF(OR($T363="",NOT(ISNUMBER($T363))),"Pending",IF(TODAY()&gt;$T363,"OVERDUE","Due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IF($Q364&lt;&gt;"Yes","",IF(COUNTIFS(nrES_PID,$D364,nrES_Code,$F364,nrES_Att,2)&gt;0,"Retested",IF(OR($T364="",NOT(ISNUMBER($T364))),"Pending",IF(TODAY()&gt;$T364,"OVERDUE","Due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IF($Q365&lt;&gt;"Yes","",IF(COUNTIFS(nrES_PID,$D365,nrES_Code,$F365,nrES_Att,2)&gt;0,"Retested",IF(OR($T365="",NOT(ISNUMBER($T365))),"Pending",IF(TODAY()&gt;$T365,"OVERDUE","Due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IF($Q366&lt;&gt;"Yes","",IF(COUNTIFS(nrES_PID,$D366,nrES_Code,$F366,nrES_Att,2)&gt;0,"Retested",IF(OR($T366="",NOT(ISNUMBER($T366))),"Pending",IF(TODAY()&gt;$T366,"OVERDUE","Due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IF($Q367&lt;&gt;"Yes","",IF(COUNTIFS(nrES_PID,$D367,nrES_Code,$F367,nrES_Att,2)&gt;0,"Retested",IF(OR($T367="",NOT(ISNUMBER($T367))),"Pending",IF(TODAY()&gt;$T367,"OVERDUE","Due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IF($Q368&lt;&gt;"Yes","",IF(COUNTIFS(nrES_PID,$D368,nrES_Code,$F368,nrES_Att,2)&gt;0,"Retested",IF(OR($T368="",NOT(ISNUMBER($T368))),"Pending",IF(TODAY()&gt;$T368,"OVERDUE","Due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IF($Q369&lt;&gt;"Yes","",IF(COUNTIFS(nrES_PID,$D369,nrES_Code,$F369,nrES_Att,2)&gt;0,"Retested",IF(OR($T369="",NOT(ISNUMBER($T369))),"Pending",IF(TODAY()&gt;$T369,"OVERDUE","Due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IF($Q370&lt;&gt;"Yes","",IF(COUNTIFS(nrES_PID,$D370,nrES_Code,$F370,nrES_Att,2)&gt;0,"Retested",IF(OR($T370="",NOT(ISNUMBER($T370))),"Pending",IF(TODAY()&gt;$T370,"OVERDUE","Due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IF($Q371&lt;&gt;"Yes","",IF(COUNTIFS(nrES_PID,$D371,nrES_Code,$F371,nrES_Att,2)&gt;0,"Retested",IF(OR($T371="",NOT(ISNUMBER($T371))),"Pending",IF(TODAY()&gt;$T371,"OVERDUE","Due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IF($Q372&lt;&gt;"Yes","",IF(COUNTIFS(nrES_PID,$D372,nrES_Code,$F372,nrES_Att,2)&gt;0,"Retested",IF(OR($T372="",NOT(ISNUMBER($T372))),"Pending",IF(TODAY()&gt;$T372,"OVERDUE","Due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IF($Q373&lt;&gt;"Yes","",IF(COUNTIFS(nrES_PID,$D373,nrES_Code,$F373,nrES_Att,2)&gt;0,"Retested",IF(OR($T373="",NOT(ISNUMBER($T373))),"Pending",IF(TODAY()&gt;$T373,"OVERDUE","Due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IF($Q374&lt;&gt;"Yes","",IF(COUNTIFS(nrES_PID,$D374,nrES_Code,$F374,nrES_Att,2)&gt;0,"Retested",IF(OR($T374="",NOT(ISNUMBER($T374))),"Pending",IF(TODAY()&gt;$T374,"OVERDUE","Due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IF($Q375&lt;&gt;"Yes","",IF(COUNTIFS(nrES_PID,$D375,nrES_Code,$F375,nrES_Att,2)&gt;0,"Retested",IF(OR($T375="",NOT(ISNUMBER($T375))),"Pending",IF(TODAY()&gt;$T375,"OVERDUE","Due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IF($Q376&lt;&gt;"Yes","",IF(COUNTIFS(nrES_PID,$D376,nrES_Code,$F376,nrES_Att,2)&gt;0,"Retested",IF(OR($T376="",NOT(ISNUMBER($T376))),"Pending",IF(TODAY()&gt;$T376,"OVERDUE","Due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IF($Q377&lt;&gt;"Yes","",IF(COUNTIFS(nrES_PID,$D377,nrES_Code,$F377,nrES_Att,2)&gt;0,"Retested",IF(OR($T377="",NOT(ISNUMBER($T377))),"Pending",IF(TODAY()&gt;$T377,"OVERDUE","Due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IF($Q378&lt;&gt;"Yes","",IF(COUNTIFS(nrES_PID,$D378,nrES_Code,$F378,nrES_Att,2)&gt;0,"Retested",IF(OR($T378="",NOT(ISNUMBER($T378))),"Pending",IF(TODAY()&gt;$T378,"OVERDUE","Due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IF($Q379&lt;&gt;"Yes","",IF(COUNTIFS(nrES_PID,$D379,nrES_Code,$F379,nrES_Att,2)&gt;0,"Retested",IF(OR($T379="",NOT(ISNUMBER($T379))),"Pending",IF(TODAY()&gt;$T379,"OVERDUE","Due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IF($Q380&lt;&gt;"Yes","",IF(COUNTIFS(nrES_PID,$D380,nrES_Code,$F380,nrES_Att,2)&gt;0,"Retested",IF(OR($T380="",NOT(ISNUMBER($T380))),"Pending",IF(TODAY()&gt;$T380,"OVERDUE","Due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IF($Q381&lt;&gt;"Yes","",IF(COUNTIFS(nrES_PID,$D381,nrES_Code,$F381,nrES_Att,2)&gt;0,"Retested",IF(OR($T381="",NOT(ISNUMBER($T381))),"Pending",IF(TODAY()&gt;$T381,"OVERDUE","Due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IF($Q382&lt;&gt;"Yes","",IF(COUNTIFS(nrES_PID,$D382,nrES_Code,$F382,nrES_Att,2)&gt;0,"Retested",IF(OR($T382="",NOT(ISNUMBER($T382))),"Pending",IF(TODAY()&gt;$T382,"OVERDUE","Due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IF($Q383&lt;&gt;"Yes","",IF(COUNTIFS(nrES_PID,$D383,nrES_Code,$F383,nrES_Att,2)&gt;0,"Retested",IF(OR($T383="",NOT(ISNUMBER($T383))),"Pending",IF(TODAY()&gt;$T383,"OVERDUE","Due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IF($Q384&lt;&gt;"Yes","",IF(COUNTIFS(nrES_PID,$D384,nrES_Code,$F384,nrES_Att,2)&gt;0,"Retested",IF(OR($T384="",NOT(ISNUMBER($T384))),"Pending",IF(TODAY()&gt;$T384,"OVERDUE","Due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IF($Q385&lt;&gt;"Yes","",IF(COUNTIFS(nrES_PID,$D385,nrES_Code,$F385,nrES_Att,2)&gt;0,"Retested",IF(OR($T385="",NOT(ISNUMBER($T385))),"Pending",IF(TODAY()&gt;$T385,"OVERDUE","Due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IF($Q386&lt;&gt;"Yes","",IF(COUNTIFS(nrES_PID,$D386,nrES_Code,$F386,nrES_Att,2)&gt;0,"Retested",IF(OR($T386="",NOT(ISNUMBER($T386))),"Pending",IF(TODAY()&gt;$T386,"OVERDUE","Due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IF($Q387&lt;&gt;"Yes","",IF(COUNTIFS(nrES_PID,$D387,nrES_Code,$F387,nrES_Att,2)&gt;0,"Retested",IF(OR($T387="",NOT(ISNUMBER($T387))),"Pending",IF(TODAY()&gt;$T387,"OVERDUE","Due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IF($Q388&lt;&gt;"Yes","",IF(COUNTIFS(nrES_PID,$D388,nrES_Code,$F388,nrES_Att,2)&gt;0,"Retested",IF(OR($T388="",NOT(ISNUMBER($T388))),"Pending",IF(TODAY()&gt;$T388,"OVERDUE","Due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IF($Q389&lt;&gt;"Yes","",IF(COUNTIFS(nrES_PID,$D389,nrES_Code,$F389,nrES_Att,2)&gt;0,"Retested",IF(OR($T389="",NOT(ISNUMBER($T389))),"Pending",IF(TODAY()&gt;$T389,"OVERDUE","Due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IF($Q390&lt;&gt;"Yes","",IF(COUNTIFS(nrES_PID,$D390,nrES_Code,$F390,nrES_Att,2)&gt;0,"Retested",IF(OR($T390="",NOT(ISNUMBER($T390))),"Pending",IF(TODAY()&gt;$T390,"OVERDUE","Due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IF($Q391&lt;&gt;"Yes","",IF(COUNTIFS(nrES_PID,$D391,nrES_Code,$F391,nrES_Att,2)&gt;0,"Retested",IF(OR($T391="",NOT(ISNUMBER($T391))),"Pending",IF(TODAY()&gt;$T391,"OVERDUE","Due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IF($Q392&lt;&gt;"Yes","",IF(COUNTIFS(nrES_PID,$D392,nrES_Code,$F392,nrES_Att,2)&gt;0,"Retested",IF(OR($T392="",NOT(ISNUMBER($T392))),"Pending",IF(TODAY()&gt;$T392,"OVERDUE","Due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IF($Q393&lt;&gt;"Yes","",IF(COUNTIFS(nrES_PID,$D393,nrES_Code,$F393,nrES_Att,2)&gt;0,"Retested",IF(OR($T393="",NOT(ISNUMBER($T393))),"Pending",IF(TODAY()&gt;$T393,"OVERDUE","Due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IF($Q394&lt;&gt;"Yes","",IF(COUNTIFS(nrES_PID,$D394,nrES_Code,$F394,nrES_Att,2)&gt;0,"Retested",IF(OR($T394="",NOT(ISNUMBER($T394))),"Pending",IF(TODAY()&gt;$T394,"OVERDUE","Due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IF($Q395&lt;&gt;"Yes","",IF(COUNTIFS(nrES_PID,$D395,nrES_Code,$F395,nrES_Att,2)&gt;0,"Retested",IF(OR($T395="",NOT(ISNUMBER($T395))),"Pending",IF(TODAY()&gt;$T395,"OVERDUE","Due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IF($Q396&lt;&gt;"Yes","",IF(COUNTIFS(nrES_PID,$D396,nrES_Code,$F396,nrES_Att,2)&gt;0,"Retested",IF(OR($T396="",NOT(ISNUMBER($T396))),"Pending",IF(TODAY()&gt;$T396,"OVERDUE","Due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IF($Q397&lt;&gt;"Yes","",IF(COUNTIFS(nrES_PID,$D397,nrES_Code,$F397,nrES_Att,2)&gt;0,"Retested",IF(OR($T397="",NOT(ISNUMBER($T397))),"Pending",IF(TODAY()&gt;$T397,"OVERDUE","Due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IF($Q398&lt;&gt;"Yes","",IF(COUNTIFS(nrES_PID,$D398,nrES_Code,$F398,nrES_Att,2)&gt;0,"Retested",IF(OR($T398="",NOT(ISNUMBER($T398))),"Pending",IF(TODAY()&gt;$T398,"OVERDUE","Due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IF($Q399&lt;&gt;"Yes","",IF(COUNTIFS(nrES_PID,$D399,nrES_Code,$F399,nrES_Att,2)&gt;0,"Retested",IF(OR($T399="",NOT(ISNUMBER($T399))),"Pending",IF(TODAY()&gt;$T399,"OVERDUE","Due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IF($Q400&lt;&gt;"Yes","",IF(COUNTIFS(nrES_PID,$D400,nrES_Code,$F400,nrES_Att,2)&gt;0,"Retested",IF(OR($T400="",NOT(ISNUMBER($T400))),"Pending",IF(TODAY()&gt;$T400,"OVERDUE","Due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IF($Q401&lt;&gt;"Yes","",IF(COUNTIFS(nrES_PID,$D401,nrES_Code,$F401,nrES_Att,2)&gt;0,"Retested",IF(OR($T401="",NOT(ISNUMBER($T401))),"Pending",IF(TODAY()&gt;$T401,"OVERDUE","Due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IF($Q402&lt;&gt;"Yes","",IF(COUNTIFS(nrES_PID,$D402,nrES_Code,$F402,nrES_Att,2)&gt;0,"Retested",IF(OR($T402="",NOT(ISNUMBER($T402))),"Pending",IF(TODAY()&gt;$T402,"OVERDUE","Due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IF($Q403&lt;&gt;"Yes","",IF(COUNTIFS(nrES_PID,$D403,nrES_Code,$F403,nrES_Att,2)&gt;0,"Retested",IF(OR($T403="",NOT(ISNUMBER($T403))),"Pending",IF(TODAY()&gt;$T403,"OVERDUE","Due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IF($Q404&lt;&gt;"Yes","",IF(COUNTIFS(nrES_PID,$D404,nrES_Code,$F404,nrES_Att,2)&gt;0,"Retested",IF(OR($T404="",NOT(ISNUMBER($T404))),"Pending",IF(TODAY()&gt;$T404,"OVERDUE","Due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IF($Q405&lt;&gt;"Yes","",IF(COUNTIFS(nrES_PID,$D405,nrES_Code,$F405,nrES_Att,2)&gt;0,"Retested",IF(OR($T405="",NOT(ISNUMBER($T405))),"Pending",IF(TODAY()&gt;$T405,"OVERDUE","Due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IF($Q406&lt;&gt;"Yes","",IF(COUNTIFS(nrES_PID,$D406,nrES_Code,$F406,nrES_Att,2)&gt;0,"Retested",IF(OR($T406="",NOT(ISNUMBER($T406))),"Pending",IF(TODAY()&gt;$T406,"OVERDUE","Due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IF($Q407&lt;&gt;"Yes","",IF(COUNTIFS(nrES_PID,$D407,nrES_Code,$F407,nrES_Att,2)&gt;0,"Retested",IF(OR($T407="",NOT(ISNUMBER($T407))),"Pending",IF(TODAY()&gt;$T407,"OVERDUE","Due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IF($Q408&lt;&gt;"Yes","",IF(COUNTIFS(nrES_PID,$D408,nrES_Code,$F408,nrES_Att,2)&gt;0,"Retested",IF(OR($T408="",NOT(ISNUMBER($T408))),"Pending",IF(TODAY()&gt;$T408,"OVERDUE","Due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IF($Q409&lt;&gt;"Yes","",IF(COUNTIFS(nrES_PID,$D409,nrES_Code,$F409,nrES_Att,2)&gt;0,"Retested",IF(OR($T409="",NOT(ISNUMBER($T409))),"Pending",IF(TODAY()&gt;$T409,"OVERDUE","Due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IF($Q410&lt;&gt;"Yes","",IF(COUNTIFS(nrES_PID,$D410,nrES_Code,$F410,nrES_Att,2)&gt;0,"Retested",IF(OR($T410="",NOT(ISNUMBER($T410))),"Pending",IF(TODAY()&gt;$T410,"OVERDUE","Due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IF($Q411&lt;&gt;"Yes","",IF(COUNTIFS(nrES_PID,$D411,nrES_Code,$F411,nrES_Att,2)&gt;0,"Retested",IF(OR($T411="",NOT(ISNUMBER($T411))),"Pending",IF(TODAY()&gt;$T411,"OVERDUE","Due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IF($Q412&lt;&gt;"Yes","",IF(COUNTIFS(nrES_PID,$D412,nrES_Code,$F412,nrES_Att,2)&gt;0,"Retested",IF(OR($T412="",NOT(ISNUMBER($T412))),"Pending",IF(TODAY()&gt;$T412,"OVERDUE","Due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IF($Q413&lt;&gt;"Yes","",IF(COUNTIFS(nrES_PID,$D413,nrES_Code,$F413,nrES_Att,2)&gt;0,"Retested",IF(OR($T413="",NOT(ISNUMBER($T413))),"Pending",IF(TODAY()&gt;$T413,"OVERDUE","Due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IF($Q414&lt;&gt;"Yes","",IF(COUNTIFS(nrES_PID,$D414,nrES_Code,$F414,nrES_Att,2)&gt;0,"Retested",IF(OR($T414="",NOT(ISNUMBER($T414))),"Pending",IF(TODAY()&gt;$T414,"OVERDUE","Due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IF($Q415&lt;&gt;"Yes","",IF(COUNTIFS(nrES_PID,$D415,nrES_Code,$F415,nrES_Att,2)&gt;0,"Retested",IF(OR($T415="",NOT(ISNUMBER($T415))),"Pending",IF(TODAY()&gt;$T415,"OVERDUE","Due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IF($Q416&lt;&gt;"Yes","",IF(COUNTIFS(nrES_PID,$D416,nrES_Code,$F416,nrES_Att,2)&gt;0,"Retested",IF(OR($T416="",NOT(ISNUMBER($T416))),"Pending",IF(TODAY()&gt;$T416,"OVERDUE","Due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IF($Q417&lt;&gt;"Yes","",IF(COUNTIFS(nrES_PID,$D417,nrES_Code,$F417,nrES_Att,2)&gt;0,"Retested",IF(OR($T417="",NOT(ISNUMBER($T417))),"Pending",IF(TODAY()&gt;$T417,"OVERDUE","Due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IF($Q418&lt;&gt;"Yes","",IF(COUNTIFS(nrES_PID,$D418,nrES_Code,$F418,nrES_Att,2)&gt;0,"Retested",IF(OR($T418="",NOT(ISNUMBER($T418))),"Pending",IF(TODAY()&gt;$T418,"OVERDUE","Due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IF($Q419&lt;&gt;"Yes","",IF(COUNTIFS(nrES_PID,$D419,nrES_Code,$F419,nrES_Att,2)&gt;0,"Retested",IF(OR($T419="",NOT(ISNUMBER($T419))),"Pending",IF(TODAY()&gt;$T419,"OVERDUE","Due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IF($Q420&lt;&gt;"Yes","",IF(COUNTIFS(nrES_PID,$D420,nrES_Code,$F420,nrES_Att,2)&gt;0,"Retested",IF(OR($T420="",NOT(ISNUMBER($T420))),"Pending",IF(TODAY()&gt;$T420,"OVERDUE","Due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IF($Q421&lt;&gt;"Yes","",IF(COUNTIFS(nrES_PID,$D421,nrES_Code,$F421,nrES_Att,2)&gt;0,"Retested",IF(OR($T421="",NOT(ISNUMBER($T421))),"Pending",IF(TODAY()&gt;$T421,"OVERDUE","Due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IF($Q422&lt;&gt;"Yes","",IF(COUNTIFS(nrES_PID,$D422,nrES_Code,$F422,nrES_Att,2)&gt;0,"Retested",IF(OR($T422="",NOT(ISNUMBER($T422))),"Pending",IF(TODAY()&gt;$T422,"OVERDUE","Due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IF($Q423&lt;&gt;"Yes","",IF(COUNTIFS(nrES_PID,$D423,nrES_Code,$F423,nrES_Att,2)&gt;0,"Retested",IF(OR($T423="",NOT(ISNUMBER($T423))),"Pending",IF(TODAY()&gt;$T423,"OVERDUE","Due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IF($Q424&lt;&gt;"Yes","",IF(COUNTIFS(nrES_PID,$D424,nrES_Code,$F424,nrES_Att,2)&gt;0,"Retested",IF(OR($T424="",NOT(ISNUMBER($T424))),"Pending",IF(TODAY()&gt;$T424,"OVERDUE","Due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IF($Q425&lt;&gt;"Yes","",IF(COUNTIFS(nrES_PID,$D425,nrES_Code,$F425,nrES_Att,2)&gt;0,"Retested",IF(OR($T425="",NOT(ISNUMBER($T425))),"Pending",IF(TODAY()&gt;$T425,"OVERDUE","Due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IF($Q426&lt;&gt;"Yes","",IF(COUNTIFS(nrES_PID,$D426,nrES_Code,$F426,nrES_Att,2)&gt;0,"Retested",IF(OR($T426="",NOT(ISNUMBER($T426))),"Pending",IF(TODAY()&gt;$T426,"OVERDUE","Due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IF($Q427&lt;&gt;"Yes","",IF(COUNTIFS(nrES_PID,$D427,nrES_Code,$F427,nrES_Att,2)&gt;0,"Retested",IF(OR($T427="",NOT(ISNUMBER($T427))),"Pending",IF(TODAY()&gt;$T427,"OVERDUE","Due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IF($Q428&lt;&gt;"Yes","",IF(COUNTIFS(nrES_PID,$D428,nrES_Code,$F428,nrES_Att,2)&gt;0,"Retested",IF(OR($T428="",NOT(ISNUMBER($T428))),"Pending",IF(TODAY()&gt;$T428,"OVERDUE","Due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IF($Q429&lt;&gt;"Yes","",IF(COUNTIFS(nrES_PID,$D429,nrES_Code,$F429,nrES_Att,2)&gt;0,"Retested",IF(OR($T429="",NOT(ISNUMBER($T429))),"Pending",IF(TODAY()&gt;$T429,"OVERDUE","Due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IF($Q430&lt;&gt;"Yes","",IF(COUNTIFS(nrES_PID,$D430,nrES_Code,$F430,nrES_Att,2)&gt;0,"Retested",IF(OR($T430="",NOT(ISNUMBER($T430))),"Pending",IF(TODAY()&gt;$T430,"OVERDUE","Due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IF($Q431&lt;&gt;"Yes","",IF(COUNTIFS(nrES_PID,$D431,nrES_Code,$F431,nrES_Att,2)&gt;0,"Retested",IF(OR($T431="",NOT(ISNUMBER($T431))),"Pending",IF(TODAY()&gt;$T431,"OVERDUE","Due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IF($Q432&lt;&gt;"Yes","",IF(COUNTIFS(nrES_PID,$D432,nrES_Code,$F432,nrES_Att,2)&gt;0,"Retested",IF(OR($T432="",NOT(ISNUMBER($T432))),"Pending",IF(TODAY()&gt;$T432,"OVERDUE","Due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IF($Q433&lt;&gt;"Yes","",IF(COUNTIFS(nrES_PID,$D433,nrES_Code,$F433,nrES_Att,2)&gt;0,"Retested",IF(OR($T433="",NOT(ISNUMBER($T433))),"Pending",IF(TODAY()&gt;$T433,"OVERDUE","Due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IF($Q434&lt;&gt;"Yes","",IF(COUNTIFS(nrES_PID,$D434,nrES_Code,$F434,nrES_Att,2)&gt;0,"Retested",IF(OR($T434="",NOT(ISNUMBER($T434))),"Pending",IF(TODAY()&gt;$T434,"OVERDUE","Due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IF($Q435&lt;&gt;"Yes","",IF(COUNTIFS(nrES_PID,$D435,nrES_Code,$F435,nrES_Att,2)&gt;0,"Retested",IF(OR($T435="",NOT(ISNUMBER($T435))),"Pending",IF(TODAY()&gt;$T435,"OVERDUE","Due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IF($Q436&lt;&gt;"Yes","",IF(COUNTIFS(nrES_PID,$D436,nrES_Code,$F436,nrES_Att,2)&gt;0,"Retested",IF(OR($T436="",NOT(ISNUMBER($T436))),"Pending",IF(TODAY()&gt;$T436,"OVERDUE","Due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IF($Q437&lt;&gt;"Yes","",IF(COUNTIFS(nrES_PID,$D437,nrES_Code,$F437,nrES_Att,2)&gt;0,"Retested",IF(OR($T437="",NOT(ISNUMBER($T437))),"Pending",IF(TODAY()&gt;$T437,"OVERDUE","Due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IF($Q438&lt;&gt;"Yes","",IF(COUNTIFS(nrES_PID,$D438,nrES_Code,$F438,nrES_Att,2)&gt;0,"Retested",IF(OR($T438="",NOT(ISNUMBER($T438))),"Pending",IF(TODAY()&gt;$T438,"OVERDUE","Due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IF($Q439&lt;&gt;"Yes","",IF(COUNTIFS(nrES_PID,$D439,nrES_Code,$F439,nrES_Att,2)&gt;0,"Retested",IF(OR($T439="",NOT(ISNUMBER($T439))),"Pending",IF(TODAY()&gt;$T439,"OVERDUE","Due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IF($Q440&lt;&gt;"Yes","",IF(COUNTIFS(nrES_PID,$D440,nrES_Code,$F440,nrES_Att,2)&gt;0,"Retested",IF(OR($T440="",NOT(ISNUMBER($T440))),"Pending",IF(TODAY()&gt;$T440,"OVERDUE","Due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IF($Q441&lt;&gt;"Yes","",IF(COUNTIFS(nrES_PID,$D441,nrES_Code,$F441,nrES_Att,2)&gt;0,"Retested",IF(OR($T441="",NOT(ISNUMBER($T441))),"Pending",IF(TODAY()&gt;$T441,"OVERDUE","Due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IF($Q442&lt;&gt;"Yes","",IF(COUNTIFS(nrES_PID,$D442,nrES_Code,$F442,nrES_Att,2)&gt;0,"Retested",IF(OR($T442="",NOT(ISNUMBER($T442))),"Pending",IF(TODAY()&gt;$T442,"OVERDUE","Due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IF($Q443&lt;&gt;"Yes","",IF(COUNTIFS(nrES_PID,$D443,nrES_Code,$F443,nrES_Att,2)&gt;0,"Retested",IF(OR($T443="",NOT(ISNUMBER($T443))),"Pending",IF(TODAY()&gt;$T443,"OVERDUE","Due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IF($Q444&lt;&gt;"Yes","",IF(COUNTIFS(nrES_PID,$D444,nrES_Code,$F444,nrES_Att,2)&gt;0,"Retested",IF(OR($T444="",NOT(ISNUMBER($T444))),"Pending",IF(TODAY()&gt;$T444,"OVERDUE","Due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IF($Q445&lt;&gt;"Yes","",IF(COUNTIFS(nrES_PID,$D445,nrES_Code,$F445,nrES_Att,2)&gt;0,"Retested",IF(OR($T445="",NOT(ISNUMBER($T445))),"Pending",IF(TODAY()&gt;$T445,"OVERDUE","Due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IF($Q446&lt;&gt;"Yes","",IF(COUNTIFS(nrES_PID,$D446,nrES_Code,$F446,nrES_Att,2)&gt;0,"Retested",IF(OR($T446="",NOT(ISNUMBER($T446))),"Pending",IF(TODAY()&gt;$T446,"OVERDUE","Due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IF($Q447&lt;&gt;"Yes","",IF(COUNTIFS(nrES_PID,$D447,nrES_Code,$F447,nrES_Att,2)&gt;0,"Retested",IF(OR($T447="",NOT(ISNUMBER($T447))),"Pending",IF(TODAY()&gt;$T447,"OVERDUE","Due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IF($Q448&lt;&gt;"Yes","",IF(COUNTIFS(nrES_PID,$D448,nrES_Code,$F448,nrES_Att,2)&gt;0,"Retested",IF(OR($T448="",NOT(ISNUMBER($T448))),"Pending",IF(TODAY()&gt;$T448,"OVERDUE","Due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IF($Q449&lt;&gt;"Yes","",IF(COUNTIFS(nrES_PID,$D449,nrES_Code,$F449,nrES_Att,2)&gt;0,"Retested",IF(OR($T449="",NOT(ISNUMBER($T449))),"Pending",IF(TODAY()&gt;$T449,"OVERDUE","Due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IF($Q450&lt;&gt;"Yes","",IF(COUNTIFS(nrES_PID,$D450,nrES_Code,$F450,nrES_Att,2)&gt;0,"Retested",IF(OR($T450="",NOT(ISNUMBER($T450))),"Pending",IF(TODAY()&gt;$T450,"OVERDUE","Due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IF($Q451&lt;&gt;"Yes","",IF(COUNTIFS(nrES_PID,$D451,nrES_Code,$F451,nrES_Att,2)&gt;0,"Retested",IF(OR($T451="",NOT(ISNUMBER($T451))),"Pending",IF(TODAY()&gt;$T451,"OVERDUE","Due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IF($Q452&lt;&gt;"Yes","",IF(COUNTIFS(nrES_PID,$D452,nrES_Code,$F452,nrES_Att,2)&gt;0,"Retested",IF(OR($T452="",NOT(ISNUMBER($T452))),"Pending",IF(TODAY()&gt;$T452,"OVERDUE","Due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IF($Q453&lt;&gt;"Yes","",IF(COUNTIFS(nrES_PID,$D453,nrES_Code,$F453,nrES_Att,2)&gt;0,"Retested",IF(OR($T453="",NOT(ISNUMBER($T453))),"Pending",IF(TODAY()&gt;$T453,"OVERDUE","Due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IF($Q454&lt;&gt;"Yes","",IF(COUNTIFS(nrES_PID,$D454,nrES_Code,$F454,nrES_Att,2)&gt;0,"Retested",IF(OR($T454="",NOT(ISNUMBER($T454))),"Pending",IF(TODAY()&gt;$T454,"OVERDUE","Due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IF($Q455&lt;&gt;"Yes","",IF(COUNTIFS(nrES_PID,$D455,nrES_Code,$F455,nrES_Att,2)&gt;0,"Retested",IF(OR($T455="",NOT(ISNUMBER($T455))),"Pending",IF(TODAY()&gt;$T455,"OVERDUE","Due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IF($Q456&lt;&gt;"Yes","",IF(COUNTIFS(nrES_PID,$D456,nrES_Code,$F456,nrES_Att,2)&gt;0,"Retested",IF(OR($T456="",NOT(ISNUMBER($T456))),"Pending",IF(TODAY()&gt;$T456,"OVERDUE","Due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IF($Q457&lt;&gt;"Yes","",IF(COUNTIFS(nrES_PID,$D457,nrES_Code,$F457,nrES_Att,2)&gt;0,"Retested",IF(OR($T457="",NOT(ISNUMBER($T457))),"Pending",IF(TODAY()&gt;$T457,"OVERDUE","Due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IF($Q458&lt;&gt;"Yes","",IF(COUNTIFS(nrES_PID,$D458,nrES_Code,$F458,nrES_Att,2)&gt;0,"Retested",IF(OR($T458="",NOT(ISNUMBER($T458))),"Pending",IF(TODAY()&gt;$T458,"OVERDUE","Due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IF($Q459&lt;&gt;"Yes","",IF(COUNTIFS(nrES_PID,$D459,nrES_Code,$F459,nrES_Att,2)&gt;0,"Retested",IF(OR($T459="",NOT(ISNUMBER($T459))),"Pending",IF(TODAY()&gt;$T459,"OVERDUE","Due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IF($Q460&lt;&gt;"Yes","",IF(COUNTIFS(nrES_PID,$D460,nrES_Code,$F460,nrES_Att,2)&gt;0,"Retested",IF(OR($T460="",NOT(ISNUMBER($T460))),"Pending",IF(TODAY()&gt;$T460,"OVERDUE","Due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IF($Q461&lt;&gt;"Yes","",IF(COUNTIFS(nrES_PID,$D461,nrES_Code,$F461,nrES_Att,2)&gt;0,"Retested",IF(OR($T461="",NOT(ISNUMBER($T461))),"Pending",IF(TODAY()&gt;$T461,"OVERDUE","Due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IF($Q462&lt;&gt;"Yes","",IF(COUNTIFS(nrES_PID,$D462,nrES_Code,$F462,nrES_Att,2)&gt;0,"Retested",IF(OR($T462="",NOT(ISNUMBER($T462))),"Pending",IF(TODAY()&gt;$T462,"OVERDUE","Due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IF($Q463&lt;&gt;"Yes","",IF(COUNTIFS(nrES_PID,$D463,nrES_Code,$F463,nrES_Att,2)&gt;0,"Retested",IF(OR($T463="",NOT(ISNUMBER($T463))),"Pending",IF(TODAY()&gt;$T463,"OVERDUE","Due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IF($Q464&lt;&gt;"Yes","",IF(COUNTIFS(nrES_PID,$D464,nrES_Code,$F464,nrES_Att,2)&gt;0,"Retested",IF(OR($T464="",NOT(ISNUMBER($T464))),"Pending",IF(TODAY()&gt;$T464,"OVERDUE","Due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IF($Q465&lt;&gt;"Yes","",IF(COUNTIFS(nrES_PID,$D465,nrES_Code,$F465,nrES_Att,2)&gt;0,"Retested",IF(OR($T465="",NOT(ISNUMBER($T465))),"Pending",IF(TODAY()&gt;$T465,"OVERDUE","Due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IF($Q466&lt;&gt;"Yes","",IF(COUNTIFS(nrES_PID,$D466,nrES_Code,$F466,nrES_Att,2)&gt;0,"Retested",IF(OR($T466="",NOT(ISNUMBER($T466))),"Pending",IF(TODAY()&gt;$T466,"OVERDUE","Due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IF($Q467&lt;&gt;"Yes","",IF(COUNTIFS(nrES_PID,$D467,nrES_Code,$F467,nrES_Att,2)&gt;0,"Retested",IF(OR($T467="",NOT(ISNUMBER($T467))),"Pending",IF(TODAY()&gt;$T467,"OVERDUE","Due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IF($Q468&lt;&gt;"Yes","",IF(COUNTIFS(nrES_PID,$D468,nrES_Code,$F468,nrES_Att,2)&gt;0,"Retested",IF(OR($T468="",NOT(ISNUMBER($T468))),"Pending",IF(TODAY()&gt;$T468,"OVERDUE","Due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IF($Q469&lt;&gt;"Yes","",IF(COUNTIFS(nrES_PID,$D469,nrES_Code,$F469,nrES_Att,2)&gt;0,"Retested",IF(OR($T469="",NOT(ISNUMBER($T469))),"Pending",IF(TODAY()&gt;$T469,"OVERDUE","Due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IF($Q470&lt;&gt;"Yes","",IF(COUNTIFS(nrES_PID,$D470,nrES_Code,$F470,nrES_Att,2)&gt;0,"Retested",IF(OR($T470="",NOT(ISNUMBER($T470))),"Pending",IF(TODAY()&gt;$T470,"OVERDUE","Due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IF($Q471&lt;&gt;"Yes","",IF(COUNTIFS(nrES_PID,$D471,nrES_Code,$F471,nrES_Att,2)&gt;0,"Retested",IF(OR($T471="",NOT(ISNUMBER($T471))),"Pending",IF(TODAY()&gt;$T471,"OVERDUE","Due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IF($Q472&lt;&gt;"Yes","",IF(COUNTIFS(nrES_PID,$D472,nrES_Code,$F472,nrES_Att,2)&gt;0,"Retested",IF(OR($T472="",NOT(ISNUMBER($T472))),"Pending",IF(TODAY()&gt;$T472,"OVERDUE","Due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IF($Q473&lt;&gt;"Yes","",IF(COUNTIFS(nrES_PID,$D473,nrES_Code,$F473,nrES_Att,2)&gt;0,"Retested",IF(OR($T473="",NOT(ISNUMBER($T473))),"Pending",IF(TODAY()&gt;$T473,"OVERDUE","Due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IF($Q474&lt;&gt;"Yes","",IF(COUNTIFS(nrES_PID,$D474,nrES_Code,$F474,nrES_Att,2)&gt;0,"Retested",IF(OR($T474="",NOT(ISNUMBER($T474))),"Pending",IF(TODAY()&gt;$T474,"OVERDUE","Due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IF($Q475&lt;&gt;"Yes","",IF(COUNTIFS(nrES_PID,$D475,nrES_Code,$F475,nrES_Att,2)&gt;0,"Retested",IF(OR($T475="",NOT(ISNUMBER($T475))),"Pending",IF(TODAY()&gt;$T475,"OVERDUE","Due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IF($Q476&lt;&gt;"Yes","",IF(COUNTIFS(nrES_PID,$D476,nrES_Code,$F476,nrES_Att,2)&gt;0,"Retested",IF(OR($T476="",NOT(ISNUMBER($T476))),"Pending",IF(TODAY()&gt;$T476,"OVERDUE","Due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IF($Q477&lt;&gt;"Yes","",IF(COUNTIFS(nrES_PID,$D477,nrES_Code,$F477,nrES_Att,2)&gt;0,"Retested",IF(OR($T477="",NOT(ISNUMBER($T477))),"Pending",IF(TODAY()&gt;$T477,"OVERDUE","Due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IF($Q478&lt;&gt;"Yes","",IF(COUNTIFS(nrES_PID,$D478,nrES_Code,$F478,nrES_Att,2)&gt;0,"Retested",IF(OR($T478="",NOT(ISNUMBER($T478))),"Pending",IF(TODAY()&gt;$T478,"OVERDUE","Due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IF($Q479&lt;&gt;"Yes","",IF(COUNTIFS(nrES_PID,$D479,nrES_Code,$F479,nrES_Att,2)&gt;0,"Retested",IF(OR($T479="",NOT(ISNUMBER($T479))),"Pending",IF(TODAY()&gt;$T479,"OVERDUE","Due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IF($Q480&lt;&gt;"Yes","",IF(COUNTIFS(nrES_PID,$D480,nrES_Code,$F480,nrES_Att,2)&gt;0,"Retested",IF(OR($T480="",NOT(ISNUMBER($T480))),"Pending",IF(TODAY()&gt;$T480,"OVERDUE","Due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IF($Q481&lt;&gt;"Yes","",IF(COUNTIFS(nrES_PID,$D481,nrES_Code,$F481,nrES_Att,2)&gt;0,"Retested",IF(OR($T481="",NOT(ISNUMBER($T481))),"Pending",IF(TODAY()&gt;$T481,"OVERDUE","Due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IF($Q482&lt;&gt;"Yes","",IF(COUNTIFS(nrES_PID,$D482,nrES_Code,$F482,nrES_Att,2)&gt;0,"Retested",IF(OR($T482="",NOT(ISNUMBER($T482))),"Pending",IF(TODAY()&gt;$T482,"OVERDUE","Due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IF($Q483&lt;&gt;"Yes","",IF(COUNTIFS(nrES_PID,$D483,nrES_Code,$F483,nrES_Att,2)&gt;0,"Retested",IF(OR($T483="",NOT(ISNUMBER($T483))),"Pending",IF(TODAY()&gt;$T483,"OVERDUE","Due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IF($Q484&lt;&gt;"Yes","",IF(COUNTIFS(nrES_PID,$D484,nrES_Code,$F484,nrES_Att,2)&gt;0,"Retested",IF(OR($T484="",NOT(ISNUMBER($T484))),"Pending",IF(TODAY()&gt;$T484,"OVERDUE","Due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IF($Q485&lt;&gt;"Yes","",IF(COUNTIFS(nrES_PID,$D485,nrES_Code,$F485,nrES_Att,2)&gt;0,"Retested",IF(OR($T485="",NOT(ISNUMBER($T485))),"Pending",IF(TODAY()&gt;$T485,"OVERDUE","Due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IF($Q486&lt;&gt;"Yes","",IF(COUNTIFS(nrES_PID,$D486,nrES_Code,$F486,nrES_Att,2)&gt;0,"Retested",IF(OR($T486="",NOT(ISNUMBER($T486))),"Pending",IF(TODAY()&gt;$T486,"OVERDUE","Due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IF($Q487&lt;&gt;"Yes","",IF(COUNTIFS(nrES_PID,$D487,nrES_Code,$F487,nrES_Att,2)&gt;0,"Retested",IF(OR($T487="",NOT(ISNUMBER($T487))),"Pending",IF(TODAY()&gt;$T487,"OVERDUE","Due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IF($Q488&lt;&gt;"Yes","",IF(COUNTIFS(nrES_PID,$D488,nrES_Code,$F488,nrES_Att,2)&gt;0,"Retested",IF(OR($T488="",NOT(ISNUMBER($T488))),"Pending",IF(TODAY()&gt;$T488,"OVERDUE","Due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IF($Q489&lt;&gt;"Yes","",IF(COUNTIFS(nrES_PID,$D489,nrES_Code,$F489,nrES_Att,2)&gt;0,"Retested",IF(OR($T489="",NOT(ISNUMBER($T489))),"Pending",IF(TODAY()&gt;$T489,"OVERDUE","Due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IF($Q490&lt;&gt;"Yes","",IF(COUNTIFS(nrES_PID,$D490,nrES_Code,$F490,nrES_Att,2)&gt;0,"Retested",IF(OR($T490="",NOT(ISNUMBER($T490))),"Pending",IF(TODAY()&gt;$T490,"OVERDUE","Due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IF($Q491&lt;&gt;"Yes","",IF(COUNTIFS(nrES_PID,$D491,nrES_Code,$F491,nrES_Att,2)&gt;0,"Retested",IF(OR($T491="",NOT(ISNUMBER($T491))),"Pending",IF(TODAY()&gt;$T491,"OVERDUE","Due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IF($Q492&lt;&gt;"Yes","",IF(COUNTIFS(nrES_PID,$D492,nrES_Code,$F492,nrES_Att,2)&gt;0,"Retested",IF(OR($T492="",NOT(ISNUMBER($T492))),"Pending",IF(TODAY()&gt;$T492,"OVERDUE","Due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IF($Q493&lt;&gt;"Yes","",IF(COUNTIFS(nrES_PID,$D493,nrES_Code,$F493,nrES_Att,2)&gt;0,"Retested",IF(OR($T493="",NOT(ISNUMBER($T493))),"Pending",IF(TODAY()&gt;$T493,"OVERDUE","Due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IF($Q494&lt;&gt;"Yes","",IF(COUNTIFS(nrES_PID,$D494,nrES_Code,$F494,nrES_Att,2)&gt;0,"Retested",IF(OR($T494="",NOT(ISNUMBER($T494))),"Pending",IF(TODAY()&gt;$T494,"OVERDUE","Due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IF($Q495&lt;&gt;"Yes","",IF(COUNTIFS(nrES_PID,$D495,nrES_Code,$F495,nrES_Att,2)&gt;0,"Retested",IF(OR($T495="",NOT(ISNUMBER($T495))),"Pending",IF(TODAY()&gt;$T495,"OVERDUE","Due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IF($Q496&lt;&gt;"Yes","",IF(COUNTIFS(nrES_PID,$D496,nrES_Code,$F496,nrES_Att,2)&gt;0,"Retested",IF(OR($T496="",NOT(ISNUMBER($T496))),"Pending",IF(TODAY()&gt;$T496,"OVERDUE","Due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IF($Q497&lt;&gt;"Yes","",IF(COUNTIFS(nrES_PID,$D497,nrES_Code,$F497,nrES_Att,2)&gt;0,"Retested",IF(OR($T497="",NOT(ISNUMBER($T497))),"Pending",IF(TODAY()&gt;$T497,"OVERDUE","Due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IF($Q498&lt;&gt;"Yes","",IF(COUNTIFS(nrES_PID,$D498,nrES_Code,$F498,nrES_Att,2)&gt;0,"Retested",IF(OR($T498="",NOT(ISNUMBER($T498))),"Pending",IF(TODAY()&gt;$T498,"OVERDUE","Due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IF($Q499&lt;&gt;"Yes","",IF(COUNTIFS(nrES_PID,$D499,nrES_Code,$F499,nrES_Att,2)&gt;0,"Retested",IF(OR($T499="",NOT(ISNUMBER($T499))),"Pending",IF(TODAY()&gt;$T499,"OVERDUE","Due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IF($Q500&lt;&gt;"Yes","",IF(COUNTIFS(nrES_PID,$D500,nrES_Code,$F500,nrES_Att,2)&gt;0,"Retested",IF(OR($T500="",NOT(ISNUMBER($T500))),"Pending",IF(TODAY()&gt;$T500,"OVERDUE","Due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IF($Q501&lt;&gt;"Yes","",IF(COUNTIFS(nrES_PID,$D501,nrES_Code,$F501,nrES_Att,2)&gt;0,"Retested",IF(OR($T501="",NOT(ISNUMBER($T501))),"Pending",IF(TODAY()&gt;$T501,"OVERDUE","Due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IF($Q502&lt;&gt;"Yes","",IF(COUNTIFS(nrES_PID,$D502,nrES_Code,$F502,nrES_Att,2)&gt;0,"Retested",IF(OR($T502="",NOT(ISNUMBER($T502))),"Pending",IF(TODAY()&gt;$T502,"OVERDUE","Due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IF($Q503&lt;&gt;"Yes","",IF(COUNTIFS(nrES_PID,$D503,nrES_Code,$F503,nrES_Att,2)&gt;0,"Retested",IF(OR($T503="",NOT(ISNUMBER($T503))),"Pending",IF(TODAY()&gt;$T503,"OVERDUE","Due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IF($Q504&lt;&gt;"Yes","",IF(COUNTIFS(nrES_PID,$D504,nrES_Code,$F504,nrES_Att,2)&gt;0,"Retested",IF(OR($T504="",NOT(ISNUMBER($T504))),"Pending",IF(TODAY()&gt;$T504,"OVERDUE","Due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IF($Q505&lt;&gt;"Yes","",IF(COUNTIFS(nrES_PID,$D505,nrES_Code,$F505,nrES_Att,2)&gt;0,"Retested",IF(OR($T505="",NOT(ISNUMBER($T505))),"Pending",IF(TODAY()&gt;$T505,"OVERDUE","Due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IF($Q506&lt;&gt;"Yes","",IF(COUNTIFS(nrES_PID,$D506,nrES_Code,$F506,nrES_Att,2)&gt;0,"Retested",IF(OR($T506="",NOT(ISNUMBER($T506))),"Pending",IF(TODAY()&gt;$T506,"OVERDUE","Due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IF($Q507&lt;&gt;"Yes","",IF(COUNTIFS(nrES_PID,$D507,nrES_Code,$F507,nrES_Att,2)&gt;0,"Retested",IF(OR($T507="",NOT(ISNUMBER($T507))),"Pending",IF(TODAY()&gt;$T507,"OVERDUE","Due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IF($Q508&lt;&gt;"Yes","",IF(COUNTIFS(nrES_PID,$D508,nrES_Code,$F508,nrES_Att,2)&gt;0,"Retested",IF(OR($T508="",NOT(ISNUMBER($T508))),"Pending",IF(TODAY()&gt;$T508,"OVERDUE","Due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IF($Q509&lt;&gt;"Yes","",IF(COUNTIFS(nrES_PID,$D509,nrES_Code,$F509,nrES_Att,2)&gt;0,"Retested",IF(OR($T509="",NOT(ISNUMBER($T509))),"Pending",IF(TODAY()&gt;$T509,"OVERDUE","Due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IF($Q510&lt;&gt;"Yes","",IF(COUNTIFS(nrES_PID,$D510,nrES_Code,$F510,nrES_Att,2)&gt;0,"Retested",IF(OR($T510="",NOT(ISNUMBER($T510))),"Pending",IF(TODAY()&gt;$T510,"OVERDUE","Due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IF($Q511&lt;&gt;"Yes","",IF(COUNTIFS(nrES_PID,$D511,nrES_Code,$F511,nrES_Att,2)&gt;0,"Retested",IF(OR($T511="",NOT(ISNUMBER($T511))),"Pending",IF(TODAY()&gt;$T511,"OVERDUE","Due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IF($Q512&lt;&gt;"Yes","",IF(COUNTIFS(nrES_PID,$D512,nrES_Code,$F512,nrES_Att,2)&gt;0,"Retested",IF(OR($T512="",NOT(ISNUMBER($T512))),"Pending",IF(TODAY()&gt;$T512,"OVERDUE","Due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IF($Q513&lt;&gt;"Yes","",IF(COUNTIFS(nrES_PID,$D513,nrES_Code,$F513,nrES_Att,2)&gt;0,"Retested",IF(OR($T513="",NOT(ISNUMBER($T513))),"Pending",IF(TODAY()&gt;$T513,"OVERDUE","Due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IF($Q514&lt;&gt;"Yes","",IF(COUNTIFS(nrES_PID,$D514,nrES_Code,$F514,nrES_Att,2)&gt;0,"Retested",IF(OR($T514="",NOT(ISNUMBER($T514))),"Pending",IF(TODAY()&gt;$T514,"OVERDUE","Due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IF($Q515&lt;&gt;"Yes","",IF(COUNTIFS(nrES_PID,$D515,nrES_Code,$F515,nrES_Att,2)&gt;0,"Retested",IF(OR($T515="",NOT(ISNUMBER($T515))),"Pending",IF(TODAY()&gt;$T515,"OVERDUE","Due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IF($Q516&lt;&gt;"Yes","",IF(COUNTIFS(nrES_PID,$D516,nrES_Code,$F516,nrES_Att,2)&gt;0,"Retested",IF(OR($T516="",NOT(ISNUMBER($T516))),"Pending",IF(TODAY()&gt;$T516,"OVERDUE","Due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IF($Q517&lt;&gt;"Yes","",IF(COUNTIFS(nrES_PID,$D517,nrES_Code,$F517,nrES_Att,2)&gt;0,"Retested",IF(OR($T517="",NOT(ISNUMBER($T517))),"Pending",IF(TODAY()&gt;$T517,"OVERDUE","Due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IF($Q518&lt;&gt;"Yes","",IF(COUNTIFS(nrES_PID,$D518,nrES_Code,$F518,nrES_Att,2)&gt;0,"Retested",IF(OR($T518="",NOT(ISNUMBER($T518))),"Pending",IF(TODAY()&gt;$T518,"OVERDUE","Due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IF($Q519&lt;&gt;"Yes","",IF(COUNTIFS(nrES_PID,$D519,nrES_Code,$F519,nrES_Att,2)&gt;0,"Retested",IF(OR($T519="",NOT(ISNUMBER($T519))),"Pending",IF(TODAY()&gt;$T519,"OVERDUE","Due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IF($Q520&lt;&gt;"Yes","",IF(COUNTIFS(nrES_PID,$D520,nrES_Code,$F520,nrES_Att,2)&gt;0,"Retested",IF(OR($T520="",NOT(ISNUMBER($T520))),"Pending",IF(TODAY()&gt;$T520,"OVERDUE","Due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IF($Q521&lt;&gt;"Yes","",IF(COUNTIFS(nrES_PID,$D521,nrES_Code,$F521,nrES_Att,2)&gt;0,"Retested",IF(OR($T521="",NOT(ISNUMBER($T521))),"Pending",IF(TODAY()&gt;$T521,"OVERDUE","Due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IF($Q522&lt;&gt;"Yes","",IF(COUNTIFS(nrES_PID,$D522,nrES_Code,$F522,nrES_Att,2)&gt;0,"Retested",IF(OR($T522="",NOT(ISNUMBER($T522))),"Pending",IF(TODAY()&gt;$T522,"OVERDUE","Due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IF($Q523&lt;&gt;"Yes","",IF(COUNTIFS(nrES_PID,$D523,nrES_Code,$F523,nrES_Att,2)&gt;0,"Retested",IF(OR($T523="",NOT(ISNUMBER($T523))),"Pending",IF(TODAY()&gt;$T523,"OVERDUE","Due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IF($Q524&lt;&gt;"Yes","",IF(COUNTIFS(nrES_PID,$D524,nrES_Code,$F524,nrES_Att,2)&gt;0,"Retested",IF(OR($T524="",NOT(ISNUMBER($T524))),"Pending",IF(TODAY()&gt;$T524,"OVERDUE","Due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IF($Q525&lt;&gt;"Yes","",IF(COUNTIFS(nrES_PID,$D525,nrES_Code,$F525,nrES_Att,2)&gt;0,"Retested",IF(OR($T525="",NOT(ISNUMBER($T525))),"Pending",IF(TODAY()&gt;$T525,"OVERDUE","Due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IF($Q526&lt;&gt;"Yes","",IF(COUNTIFS(nrES_PID,$D526,nrES_Code,$F526,nrES_Att,2)&gt;0,"Retested",IF(OR($T526="",NOT(ISNUMBER($T526))),"Pending",IF(TODAY()&gt;$T526,"OVERDUE","Due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IF($Q527&lt;&gt;"Yes","",IF(COUNTIFS(nrES_PID,$D527,nrES_Code,$F527,nrES_Att,2)&gt;0,"Retested",IF(OR($T527="",NOT(ISNUMBER($T527))),"Pending",IF(TODAY()&gt;$T527,"OVERDUE","Due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IF($Q528&lt;&gt;"Yes","",IF(COUNTIFS(nrES_PID,$D528,nrES_Code,$F528,nrES_Att,2)&gt;0,"Retested",IF(OR($T528="",NOT(ISNUMBER($T528))),"Pending",IF(TODAY()&gt;$T528,"OVERDUE","Due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IF($Q529&lt;&gt;"Yes","",IF(COUNTIFS(nrES_PID,$D529,nrES_Code,$F529,nrES_Att,2)&gt;0,"Retested",IF(OR($T529="",NOT(ISNUMBER($T529))),"Pending",IF(TODAY()&gt;$T529,"OVERDUE","Due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IF($Q530&lt;&gt;"Yes","",IF(COUNTIFS(nrES_PID,$D530,nrES_Code,$F530,nrES_Att,2)&gt;0,"Retested",IF(OR($T530="",NOT(ISNUMBER($T530))),"Pending",IF(TODAY()&gt;$T530,"OVERDUE","Due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IF($Q531&lt;&gt;"Yes","",IF(COUNTIFS(nrES_PID,$D531,nrES_Code,$F531,nrES_Att,2)&gt;0,"Retested",IF(OR($T531="",NOT(ISNUMBER($T531))),"Pending",IF(TODAY()&gt;$T531,"OVERDUE","Due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IF($Q532&lt;&gt;"Yes","",IF(COUNTIFS(nrES_PID,$D532,nrES_Code,$F532,nrES_Att,2)&gt;0,"Retested",IF(OR($T532="",NOT(ISNUMBER($T532))),"Pending",IF(TODAY()&gt;$T532,"OVERDUE","Due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IF($Q533&lt;&gt;"Yes","",IF(COUNTIFS(nrES_PID,$D533,nrES_Code,$F533,nrES_Att,2)&gt;0,"Retested",IF(OR($T533="",NOT(ISNUMBER($T533))),"Pending",IF(TODAY()&gt;$T533,"OVERDUE","Due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IF($Q534&lt;&gt;"Yes","",IF(COUNTIFS(nrES_PID,$D534,nrES_Code,$F534,nrES_Att,2)&gt;0,"Retested",IF(OR($T534="",NOT(ISNUMBER($T534))),"Pending",IF(TODAY()&gt;$T534,"OVERDUE","Due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IF($Q535&lt;&gt;"Yes","",IF(COUNTIFS(nrES_PID,$D535,nrES_Code,$F535,nrES_Att,2)&gt;0,"Retested",IF(OR($T535="",NOT(ISNUMBER($T535))),"Pending",IF(TODAY()&gt;$T535,"OVERDUE","Due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IF($Q536&lt;&gt;"Yes","",IF(COUNTIFS(nrES_PID,$D536,nrES_Code,$F536,nrES_Att,2)&gt;0,"Retested",IF(OR($T536="",NOT(ISNUMBER($T536))),"Pending",IF(TODAY()&gt;$T536,"OVERDUE","Due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IF($Q537&lt;&gt;"Yes","",IF(COUNTIFS(nrES_PID,$D537,nrES_Code,$F537,nrES_Att,2)&gt;0,"Retested",IF(OR($T537="",NOT(ISNUMBER($T537))),"Pending",IF(TODAY()&gt;$T537,"OVERDUE","Due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IF($Q538&lt;&gt;"Yes","",IF(COUNTIFS(nrES_PID,$D538,nrES_Code,$F538,nrES_Att,2)&gt;0,"Retested",IF(OR($T538="",NOT(ISNUMBER($T538))),"Pending",IF(TODAY()&gt;$T538,"OVERDUE","Due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IF($Q539&lt;&gt;"Yes","",IF(COUNTIFS(nrES_PID,$D539,nrES_Code,$F539,nrES_Att,2)&gt;0,"Retested",IF(OR($T539="",NOT(ISNUMBER($T539))),"Pending",IF(TODAY()&gt;$T539,"OVERDUE","Due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IF($Q540&lt;&gt;"Yes","",IF(COUNTIFS(nrES_PID,$D540,nrES_Code,$F540,nrES_Att,2)&gt;0,"Retested",IF(OR($T540="",NOT(ISNUMBER($T540))),"Pending",IF(TODAY()&gt;$T540,"OVERDUE","Due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IF($Q541&lt;&gt;"Yes","",IF(COUNTIFS(nrES_PID,$D541,nrES_Code,$F541,nrES_Att,2)&gt;0,"Retested",IF(OR($T541="",NOT(ISNUMBER($T541))),"Pending",IF(TODAY()&gt;$T541,"OVERDUE","Due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IF($Q542&lt;&gt;"Yes","",IF(COUNTIFS(nrES_PID,$D542,nrES_Code,$F542,nrES_Att,2)&gt;0,"Retested",IF(OR($T542="",NOT(ISNUMBER($T542))),"Pending",IF(TODAY()&gt;$T542,"OVERDUE","Due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IF($Q543&lt;&gt;"Yes","",IF(COUNTIFS(nrES_PID,$D543,nrES_Code,$F543,nrES_Att,2)&gt;0,"Retested",IF(OR($T543="",NOT(ISNUMBER($T543))),"Pending",IF(TODAY()&gt;$T543,"OVERDUE","Due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IF($Q544&lt;&gt;"Yes","",IF(COUNTIFS(nrES_PID,$D544,nrES_Code,$F544,nrES_Att,2)&gt;0,"Retested",IF(OR($T544="",NOT(ISNUMBER($T544))),"Pending",IF(TODAY()&gt;$T544,"OVERDUE","Due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IF($Q545&lt;&gt;"Yes","",IF(COUNTIFS(nrES_PID,$D545,nrES_Code,$F545,nrES_Att,2)&gt;0,"Retested",IF(OR($T545="",NOT(ISNUMBER($T545))),"Pending",IF(TODAY()&gt;$T545,"OVERDUE","Due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IF($Q546&lt;&gt;"Yes","",IF(COUNTIFS(nrES_PID,$D546,nrES_Code,$F546,nrES_Att,2)&gt;0,"Retested",IF(OR($T546="",NOT(ISNUMBER($T546))),"Pending",IF(TODAY()&gt;$T546,"OVERDUE","Due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IF($Q547&lt;&gt;"Yes","",IF(COUNTIFS(nrES_PID,$D547,nrES_Code,$F547,nrES_Att,2)&gt;0,"Retested",IF(OR($T547="",NOT(ISNUMBER($T547))),"Pending",IF(TODAY()&gt;$T547,"OVERDUE","Due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IF($Q548&lt;&gt;"Yes","",IF(COUNTIFS(nrES_PID,$D548,nrES_Code,$F548,nrES_Att,2)&gt;0,"Retested",IF(OR($T548="",NOT(ISNUMBER($T548))),"Pending",IF(TODAY()&gt;$T548,"OVERDUE","Due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IF($Q549&lt;&gt;"Yes","",IF(COUNTIFS(nrES_PID,$D549,nrES_Code,$F549,nrES_Att,2)&gt;0,"Retested",IF(OR($T549="",NOT(ISNUMBER($T549))),"Pending",IF(TODAY()&gt;$T549,"OVERDUE","Due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IF($Q550&lt;&gt;"Yes","",IF(COUNTIFS(nrES_PID,$D550,nrES_Code,$F550,nrES_Att,2)&gt;0,"Retested",IF(OR($T550="",NOT(ISNUMBER($T550))),"Pending",IF(TODAY()&gt;$T550,"OVERDUE","Due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IF($Q551&lt;&gt;"Yes","",IF(COUNTIFS(nrES_PID,$D551,nrES_Code,$F551,nrES_Att,2)&gt;0,"Retested",IF(OR($T551="",NOT(ISNUMBER($T551))),"Pending",IF(TODAY()&gt;$T551,"OVERDUE","Due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IF($Q552&lt;&gt;"Yes","",IF(COUNTIFS(nrES_PID,$D552,nrES_Code,$F552,nrES_Att,2)&gt;0,"Retested",IF(OR($T552="",NOT(ISNUMBER($T552))),"Pending",IF(TODAY()&gt;$T552,"OVERDUE","Due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IF($Q553&lt;&gt;"Yes","",IF(COUNTIFS(nrES_PID,$D553,nrES_Code,$F553,nrES_Att,2)&gt;0,"Retested",IF(OR($T553="",NOT(ISNUMBER($T553))),"Pending",IF(TODAY()&gt;$T553,"OVERDUE","Due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IF($Q554&lt;&gt;"Yes","",IF(COUNTIFS(nrES_PID,$D554,nrES_Code,$F554,nrES_Att,2)&gt;0,"Retested",IF(OR($T554="",NOT(ISNUMBER($T554))),"Pending",IF(TODAY()&gt;$T554,"OVERDUE","Due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IF($Q555&lt;&gt;"Yes","",IF(COUNTIFS(nrES_PID,$D555,nrES_Code,$F555,nrES_Att,2)&gt;0,"Retested",IF(OR($T555="",NOT(ISNUMBER($T555))),"Pending",IF(TODAY()&gt;$T555,"OVERDUE","Due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IF($Q556&lt;&gt;"Yes","",IF(COUNTIFS(nrES_PID,$D556,nrES_Code,$F556,nrES_Att,2)&gt;0,"Retested",IF(OR($T556="",NOT(ISNUMBER($T556))),"Pending",IF(TODAY()&gt;$T556,"OVERDUE","Due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IF($Q557&lt;&gt;"Yes","",IF(COUNTIFS(nrES_PID,$D557,nrES_Code,$F557,nrES_Att,2)&gt;0,"Retested",IF(OR($T557="",NOT(ISNUMBER($T557))),"Pending",IF(TODAY()&gt;$T557,"OVERDUE","Due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IF($Q558&lt;&gt;"Yes","",IF(COUNTIFS(nrES_PID,$D558,nrES_Code,$F558,nrES_Att,2)&gt;0,"Retested",IF(OR($T558="",NOT(ISNUMBER($T558))),"Pending",IF(TODAY()&gt;$T558,"OVERDUE","Due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IF($Q559&lt;&gt;"Yes","",IF(COUNTIFS(nrES_PID,$D559,nrES_Code,$F559,nrES_Att,2)&gt;0,"Retested",IF(OR($T559="",NOT(ISNUMBER($T559))),"Pending",IF(TODAY()&gt;$T559,"OVERDUE","Due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IF($Q560&lt;&gt;"Yes","",IF(COUNTIFS(nrES_PID,$D560,nrES_Code,$F560,nrES_Att,2)&gt;0,"Retested",IF(OR($T560="",NOT(ISNUMBER($T560))),"Pending",IF(TODAY()&gt;$T560,"OVERDUE","Due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IF($Q561&lt;&gt;"Yes","",IF(COUNTIFS(nrES_PID,$D561,nrES_Code,$F561,nrES_Att,2)&gt;0,"Retested",IF(OR($T561="",NOT(ISNUMBER($T561))),"Pending",IF(TODAY()&gt;$T561,"OVERDUE","Due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IF($Q562&lt;&gt;"Yes","",IF(COUNTIFS(nrES_PID,$D562,nrES_Code,$F562,nrES_Att,2)&gt;0,"Retested",IF(OR($T562="",NOT(ISNUMBER($T562))),"Pending",IF(TODAY()&gt;$T562,"OVERDUE","Due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IF($Q563&lt;&gt;"Yes","",IF(COUNTIFS(nrES_PID,$D563,nrES_Code,$F563,nrES_Att,2)&gt;0,"Retested",IF(OR($T563="",NOT(ISNUMBER($T563))),"Pending",IF(TODAY()&gt;$T563,"OVERDUE","Due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IF($Q564&lt;&gt;"Yes","",IF(COUNTIFS(nrES_PID,$D564,nrES_Code,$F564,nrES_Att,2)&gt;0,"Retested",IF(OR($T564="",NOT(ISNUMBER($T564))),"Pending",IF(TODAY()&gt;$T564,"OVERDUE","Due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IF($Q565&lt;&gt;"Yes","",IF(COUNTIFS(nrES_PID,$D565,nrES_Code,$F565,nrES_Att,2)&gt;0,"Retested",IF(OR($T565="",NOT(ISNUMBER($T565))),"Pending",IF(TODAY()&gt;$T565,"OVERDUE","Due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IF($Q566&lt;&gt;"Yes","",IF(COUNTIFS(nrES_PID,$D566,nrES_Code,$F566,nrES_Att,2)&gt;0,"Retested",IF(OR($T566="",NOT(ISNUMBER($T566))),"Pending",IF(TODAY()&gt;$T566,"OVERDUE","Due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IF($Q567&lt;&gt;"Yes","",IF(COUNTIFS(nrES_PID,$D567,nrES_Code,$F567,nrES_Att,2)&gt;0,"Retested",IF(OR($T567="",NOT(ISNUMBER($T567))),"Pending",IF(TODAY()&gt;$T567,"OVERDUE","Due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IF($Q568&lt;&gt;"Yes","",IF(COUNTIFS(nrES_PID,$D568,nrES_Code,$F568,nrES_Att,2)&gt;0,"Retested",IF(OR($T568="",NOT(ISNUMBER($T568))),"Pending",IF(TODAY()&gt;$T568,"OVERDUE","Due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IF($Q569&lt;&gt;"Yes","",IF(COUNTIFS(nrES_PID,$D569,nrES_Code,$F569,nrES_Att,2)&gt;0,"Retested",IF(OR($T569="",NOT(ISNUMBER($T569))),"Pending",IF(TODAY()&gt;$T569,"OVERDUE","Due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IF($Q570&lt;&gt;"Yes","",IF(COUNTIFS(nrES_PID,$D570,nrES_Code,$F570,nrES_Att,2)&gt;0,"Retested",IF(OR($T570="",NOT(ISNUMBER($T570))),"Pending",IF(TODAY()&gt;$T570,"OVERDUE","Due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IF($Q571&lt;&gt;"Yes","",IF(COUNTIFS(nrES_PID,$D571,nrES_Code,$F571,nrES_Att,2)&gt;0,"Retested",IF(OR($T571="",NOT(ISNUMBER($T571))),"Pending",IF(TODAY()&gt;$T571,"OVERDUE","Due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IF($Q572&lt;&gt;"Yes","",IF(COUNTIFS(nrES_PID,$D572,nrES_Code,$F572,nrES_Att,2)&gt;0,"Retested",IF(OR($T572="",NOT(ISNUMBER($T572))),"Pending",IF(TODAY()&gt;$T572,"OVERDUE","Due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IF($Q573&lt;&gt;"Yes","",IF(COUNTIFS(nrES_PID,$D573,nrES_Code,$F573,nrES_Att,2)&gt;0,"Retested",IF(OR($T573="",NOT(ISNUMBER($T573))),"Pending",IF(TODAY()&gt;$T573,"OVERDUE","Due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IF($Q574&lt;&gt;"Yes","",IF(COUNTIFS(nrES_PID,$D574,nrES_Code,$F574,nrES_Att,2)&gt;0,"Retested",IF(OR($T574="",NOT(ISNUMBER($T574))),"Pending",IF(TODAY()&gt;$T574,"OVERDUE","Due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IF($Q575&lt;&gt;"Yes","",IF(COUNTIFS(nrES_PID,$D575,nrES_Code,$F575,nrES_Att,2)&gt;0,"Retested",IF(OR($T575="",NOT(ISNUMBER($T575))),"Pending",IF(TODAY()&gt;$T575,"OVERDUE","Due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IF($Q576&lt;&gt;"Yes","",IF(COUNTIFS(nrES_PID,$D576,nrES_Code,$F576,nrES_Att,2)&gt;0,"Retested",IF(OR($T576="",NOT(ISNUMBER($T576))),"Pending",IF(TODAY()&gt;$T576,"OVERDUE","Due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IF($Q577&lt;&gt;"Yes","",IF(COUNTIFS(nrES_PID,$D577,nrES_Code,$F577,nrES_Att,2)&gt;0,"Retested",IF(OR($T577="",NOT(ISNUMBER($T577))),"Pending",IF(TODAY()&gt;$T577,"OVERDUE","Due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IF($Q578&lt;&gt;"Yes","",IF(COUNTIFS(nrES_PID,$D578,nrES_Code,$F578,nrES_Att,2)&gt;0,"Retested",IF(OR($T578="",NOT(ISNUMBER($T578))),"Pending",IF(TODAY()&gt;$T578,"OVERDUE","Due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IF($Q579&lt;&gt;"Yes","",IF(COUNTIFS(nrES_PID,$D579,nrES_Code,$F579,nrES_Att,2)&gt;0,"Retested",IF(OR($T579="",NOT(ISNUMBER($T579))),"Pending",IF(TODAY()&gt;$T579,"OVERDUE","Due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IF($Q580&lt;&gt;"Yes","",IF(COUNTIFS(nrES_PID,$D580,nrES_Code,$F580,nrES_Att,2)&gt;0,"Retested",IF(OR($T580="",NOT(ISNUMBER($T580))),"Pending",IF(TODAY()&gt;$T580,"OVERDUE","Due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IF($Q581&lt;&gt;"Yes","",IF(COUNTIFS(nrES_PID,$D581,nrES_Code,$F581,nrES_Att,2)&gt;0,"Retested",IF(OR($T581="",NOT(ISNUMBER($T581))),"Pending",IF(TODAY()&gt;$T581,"OVERDUE","Due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IF($Q582&lt;&gt;"Yes","",IF(COUNTIFS(nrES_PID,$D582,nrES_Code,$F582,nrES_Att,2)&gt;0,"Retested",IF(OR($T582="",NOT(ISNUMBER($T582))),"Pending",IF(TODAY()&gt;$T582,"OVERDUE","Due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IF($Q583&lt;&gt;"Yes","",IF(COUNTIFS(nrES_PID,$D583,nrES_Code,$F583,nrES_Att,2)&gt;0,"Retested",IF(OR($T583="",NOT(ISNUMBER($T583))),"Pending",IF(TODAY()&gt;$T583,"OVERDUE","Due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IF($Q584&lt;&gt;"Yes","",IF(COUNTIFS(nrES_PID,$D584,nrES_Code,$F584,nrES_Att,2)&gt;0,"Retested",IF(OR($T584="",NOT(ISNUMBER($T584))),"Pending",IF(TODAY()&gt;$T584,"OVERDUE","Due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IF($Q585&lt;&gt;"Yes","",IF(COUNTIFS(nrES_PID,$D585,nrES_Code,$F585,nrES_Att,2)&gt;0,"Retested",IF(OR($T585="",NOT(ISNUMBER($T585))),"Pending",IF(TODAY()&gt;$T585,"OVERDUE","Due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IF($Q586&lt;&gt;"Yes","",IF(COUNTIFS(nrES_PID,$D586,nrES_Code,$F586,nrES_Att,2)&gt;0,"Retested",IF(OR($T586="",NOT(ISNUMBER($T586))),"Pending",IF(TODAY()&gt;$T586,"OVERDUE","Due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IF($Q587&lt;&gt;"Yes","",IF(COUNTIFS(nrES_PID,$D587,nrES_Code,$F587,nrES_Att,2)&gt;0,"Retested",IF(OR($T587="",NOT(ISNUMBER($T587))),"Pending",IF(TODAY()&gt;$T587,"OVERDUE","Due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IF($Q588&lt;&gt;"Yes","",IF(COUNTIFS(nrES_PID,$D588,nrES_Code,$F588,nrES_Att,2)&gt;0,"Retested",IF(OR($T588="",NOT(ISNUMBER($T588))),"Pending",IF(TODAY()&gt;$T588,"OVERDUE","Due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IF($Q589&lt;&gt;"Yes","",IF(COUNTIFS(nrES_PID,$D589,nrES_Code,$F589,nrES_Att,2)&gt;0,"Retested",IF(OR($T589="",NOT(ISNUMBER($T589))),"Pending",IF(TODAY()&gt;$T589,"OVERDUE","Due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IF($Q590&lt;&gt;"Yes","",IF(COUNTIFS(nrES_PID,$D590,nrES_Code,$F590,nrES_Att,2)&gt;0,"Retested",IF(OR($T590="",NOT(ISNUMBER($T590))),"Pending",IF(TODAY()&gt;$T590,"OVERDUE","Due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IF($Q591&lt;&gt;"Yes","",IF(COUNTIFS(nrES_PID,$D591,nrES_Code,$F591,nrES_Att,2)&gt;0,"Retested",IF(OR($T591="",NOT(ISNUMBER($T591))),"Pending",IF(TODAY()&gt;$T591,"OVERDUE","Due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IF($Q592&lt;&gt;"Yes","",IF(COUNTIFS(nrES_PID,$D592,nrES_Code,$F592,nrES_Att,2)&gt;0,"Retested",IF(OR($T592="",NOT(ISNUMBER($T592))),"Pending",IF(TODAY()&gt;$T592,"OVERDUE","Due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IF($Q593&lt;&gt;"Yes","",IF(COUNTIFS(nrES_PID,$D593,nrES_Code,$F593,nrES_Att,2)&gt;0,"Retested",IF(OR($T593="",NOT(ISNUMBER($T593))),"Pending",IF(TODAY()&gt;$T593,"OVERDUE","Due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IF($Q594&lt;&gt;"Yes","",IF(COUNTIFS(nrES_PID,$D594,nrES_Code,$F594,nrES_Att,2)&gt;0,"Retested",IF(OR($T594="",NOT(ISNUMBER($T594))),"Pending",IF(TODAY()&gt;$T594,"OVERDUE","Due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IF($Q595&lt;&gt;"Yes","",IF(COUNTIFS(nrES_PID,$D595,nrES_Code,$F595,nrES_Att,2)&gt;0,"Retested",IF(OR($T595="",NOT(ISNUMBER($T595))),"Pending",IF(TODAY()&gt;$T595,"OVERDUE","Due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IF($Q596&lt;&gt;"Yes","",IF(COUNTIFS(nrES_PID,$D596,nrES_Code,$F596,nrES_Att,2)&gt;0,"Retested",IF(OR($T596="",NOT(ISNUMBER($T596))),"Pending",IF(TODAY()&gt;$T596,"OVERDUE","Due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IF($Q597&lt;&gt;"Yes","",IF(COUNTIFS(nrES_PID,$D597,nrES_Code,$F597,nrES_Att,2)&gt;0,"Retested",IF(OR($T597="",NOT(ISNUMBER($T597))),"Pending",IF(TODAY()&gt;$T597,"OVERDUE","Due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IF($Q598&lt;&gt;"Yes","",IF(COUNTIFS(nrES_PID,$D598,nrES_Code,$F598,nrES_Att,2)&gt;0,"Retested",IF(OR($T598="",NOT(ISNUMBER($T598))),"Pending",IF(TODAY()&gt;$T598,"OVERDUE","Due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IF($Q599&lt;&gt;"Yes","",IF(COUNTIFS(nrES_PID,$D599,nrES_Code,$F599,nrES_Att,2)&gt;0,"Retested",IF(OR($T599="",NOT(ISNUMBER($T599))),"Pending",IF(TODAY()&gt;$T599,"OVERDUE","Due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IF($Q600&lt;&gt;"Yes","",IF(COUNTIFS(nrES_PID,$D600,nrES_Code,$F600,nrES_Att,2)&gt;0,"Retested",IF(OR($T600="",NOT(ISNUMBER($T600))),"Pending",IF(TODAY()&gt;$T600,"OVERDUE","Due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IF($Q601&lt;&gt;"Yes","",IF(COUNTIFS(nrES_PID,$D601,nrES_Code,$F601,nrES_Att,2)&gt;0,"Retested",IF(OR($T601="",NOT(ISNUMBER($T601))),"Pending",IF(TODAY()&gt;$T601,"OVERDUE","Due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IF($Q602&lt;&gt;"Yes","",IF(COUNTIFS(nrES_PID,$D602,nrES_Code,$F602,nrES_Att,2)&gt;0,"Retested",IF(OR($T602="",NOT(ISNUMBER($T602))),"Pending",IF(TODAY()&gt;$T602,"OVERDUE","Due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IF($Q603&lt;&gt;"Yes","",IF(COUNTIFS(nrES_PID,$D603,nrES_Code,$F603,nrES_Att,2)&gt;0,"Retested",IF(OR($T603="",NOT(ISNUMBER($T603))),"Pending",IF(TODAY()&gt;$T603,"OVERDUE","Due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IF($Q604&lt;&gt;"Yes","",IF(COUNTIFS(nrES_PID,$D604,nrES_Code,$F604,nrES_Att,2)&gt;0,"Retested",IF(OR($T604="",NOT(ISNUMBER($T604))),"Pending",IF(TODAY()&gt;$T604,"OVERDUE","Due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IF($Q605&lt;&gt;"Yes","",IF(COUNTIFS(nrES_PID,$D605,nrES_Code,$F605,nrES_Att,2)&gt;0,"Retested",IF(OR($T605="",NOT(ISNUMBER($T605))),"Pending",IF(TODAY()&gt;$T605,"OVERDUE","Due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IF($Q606&lt;&gt;"Yes","",IF(COUNTIFS(nrES_PID,$D606,nrES_Code,$F606,nrES_Att,2)&gt;0,"Retested",IF(OR($T606="",NOT(ISNUMBER($T606))),"Pending",IF(TODAY()&gt;$T606,"OVERDUE","Due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IF($Q607&lt;&gt;"Yes","",IF(COUNTIFS(nrES_PID,$D607,nrES_Code,$F607,nrES_Att,2)&gt;0,"Retested",IF(OR($T607="",NOT(ISNUMBER($T607))),"Pending",IF(TODAY()&gt;$T607,"OVERDUE","Due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IF($Q608&lt;&gt;"Yes","",IF(COUNTIFS(nrES_PID,$D608,nrES_Code,$F608,nrES_Att,2)&gt;0,"Retested",IF(OR($T608="",NOT(ISNUMBER($T608))),"Pending",IF(TODAY()&gt;$T608,"OVERDUE","Due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IF($Q609&lt;&gt;"Yes","",IF(COUNTIFS(nrES_PID,$D609,nrES_Code,$F609,nrES_Att,2)&gt;0,"Retested",IF(OR($T609="",NOT(ISNUMBER($T609))),"Pending",IF(TODAY()&gt;$T609,"OVERDUE","Due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IF($Q610&lt;&gt;"Yes","",IF(COUNTIFS(nrES_PID,$D610,nrES_Code,$F610,nrES_Att,2)&gt;0,"Retested",IF(OR($T610="",NOT(ISNUMBER($T610))),"Pending",IF(TODAY()&gt;$T610,"OVERDUE","Due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IF($Q611&lt;&gt;"Yes","",IF(COUNTIFS(nrES_PID,$D611,nrES_Code,$F611,nrES_Att,2)&gt;0,"Retested",IF(OR($T611="",NOT(ISNUMBER($T611))),"Pending",IF(TODAY()&gt;$T611,"OVERDUE","Due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IF($Q612&lt;&gt;"Yes","",IF(COUNTIFS(nrES_PID,$D612,nrES_Code,$F612,nrES_Att,2)&gt;0,"Retested",IF(OR($T612="",NOT(ISNUMBER($T612))),"Pending",IF(TODAY()&gt;$T612,"OVERDUE","Due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IF($Q613&lt;&gt;"Yes","",IF(COUNTIFS(nrES_PID,$D613,nrES_Code,$F613,nrES_Att,2)&gt;0,"Retested",IF(OR($T613="",NOT(ISNUMBER($T613))),"Pending",IF(TODAY()&gt;$T613,"OVERDUE","Due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IF($Q614&lt;&gt;"Yes","",IF(COUNTIFS(nrES_PID,$D614,nrES_Code,$F614,nrES_Att,2)&gt;0,"Retested",IF(OR($T614="",NOT(ISNUMBER($T614))),"Pending",IF(TODAY()&gt;$T614,"OVERDUE","Due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IF($Q615&lt;&gt;"Yes","",IF(COUNTIFS(nrES_PID,$D615,nrES_Code,$F615,nrES_Att,2)&gt;0,"Retested",IF(OR($T615="",NOT(ISNUMBER($T615))),"Pending",IF(TODAY()&gt;$T615,"OVERDUE","Due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IF($Q616&lt;&gt;"Yes","",IF(COUNTIFS(nrES_PID,$D616,nrES_Code,$F616,nrES_Att,2)&gt;0,"Retested",IF(OR($T616="",NOT(ISNUMBER($T616))),"Pending",IF(TODAY()&gt;$T616,"OVERDUE","Due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IF($Q617&lt;&gt;"Yes","",IF(COUNTIFS(nrES_PID,$D617,nrES_Code,$F617,nrES_Att,2)&gt;0,"Retested",IF(OR($T617="",NOT(ISNUMBER($T617))),"Pending",IF(TODAY()&gt;$T617,"OVERDUE","Due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IF($Q618&lt;&gt;"Yes","",IF(COUNTIFS(nrES_PID,$D618,nrES_Code,$F618,nrES_Att,2)&gt;0,"Retested",IF(OR($T618="",NOT(ISNUMBER($T618))),"Pending",IF(TODAY()&gt;$T618,"OVERDUE","Due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IF($Q619&lt;&gt;"Yes","",IF(COUNTIFS(nrES_PID,$D619,nrES_Code,$F619,nrES_Att,2)&gt;0,"Retested",IF(OR($T619="",NOT(ISNUMBER($T619))),"Pending",IF(TODAY()&gt;$T619,"OVERDUE","Due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IF($Q620&lt;&gt;"Yes","",IF(COUNTIFS(nrES_PID,$D620,nrES_Code,$F620,nrES_Att,2)&gt;0,"Retested",IF(OR($T620="",NOT(ISNUMBER($T620))),"Pending",IF(TODAY()&gt;$T620,"OVERDUE","Due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IF($Q621&lt;&gt;"Yes","",IF(COUNTIFS(nrES_PID,$D621,nrES_Code,$F621,nrES_Att,2)&gt;0,"Retested",IF(OR($T621="",NOT(ISNUMBER($T621))),"Pending",IF(TODAY()&gt;$T621,"OVERDUE","Due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IF($Q622&lt;&gt;"Yes","",IF(COUNTIFS(nrES_PID,$D622,nrES_Code,$F622,nrES_Att,2)&gt;0,"Retested",IF(OR($T622="",NOT(ISNUMBER($T622))),"Pending",IF(TODAY()&gt;$T622,"OVERDUE","Due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IF($Q623&lt;&gt;"Yes","",IF(COUNTIFS(nrES_PID,$D623,nrES_Code,$F623,nrES_Att,2)&gt;0,"Retested",IF(OR($T623="",NOT(ISNUMBER($T623))),"Pending",IF(TODAY()&gt;$T623,"OVERDUE","Due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IF($Q624&lt;&gt;"Yes","",IF(COUNTIFS(nrES_PID,$D624,nrES_Code,$F624,nrES_Att,2)&gt;0,"Retested",IF(OR($T624="",NOT(ISNUMBER($T624))),"Pending",IF(TODAY()&gt;$T624,"OVERDUE","Due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IF($Q625&lt;&gt;"Yes","",IF(COUNTIFS(nrES_PID,$D625,nrES_Code,$F625,nrES_Att,2)&gt;0,"Retested",IF(OR($T625="",NOT(ISNUMBER($T625))),"Pending",IF(TODAY()&gt;$T625,"OVERDUE","Due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IF($Q626&lt;&gt;"Yes","",IF(COUNTIFS(nrES_PID,$D626,nrES_Code,$F626,nrES_Att,2)&gt;0,"Retested",IF(OR($T626="",NOT(ISNUMBER($T626))),"Pending",IF(TODAY()&gt;$T626,"OVERDUE","Due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IF($Q627&lt;&gt;"Yes","",IF(COUNTIFS(nrES_PID,$D627,nrES_Code,$F627,nrES_Att,2)&gt;0,"Retested",IF(OR($T627="",NOT(ISNUMBER($T627))),"Pending",IF(TODAY()&gt;$T627,"OVERDUE","Due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IF($Q628&lt;&gt;"Yes","",IF(COUNTIFS(nrES_PID,$D628,nrES_Code,$F628,nrES_Att,2)&gt;0,"Retested",IF(OR($T628="",NOT(ISNUMBER($T628))),"Pending",IF(TODAY()&gt;$T628,"OVERDUE","Due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IF($Q629&lt;&gt;"Yes","",IF(COUNTIFS(nrES_PID,$D629,nrES_Code,$F629,nrES_Att,2)&gt;0,"Retested",IF(OR($T629="",NOT(ISNUMBER($T629))),"Pending",IF(TODAY()&gt;$T629,"OVERDUE","Due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IF($Q630&lt;&gt;"Yes","",IF(COUNTIFS(nrES_PID,$D630,nrES_Code,$F630,nrES_Att,2)&gt;0,"Retested",IF(OR($T630="",NOT(ISNUMBER($T630))),"Pending",IF(TODAY()&gt;$T630,"OVERDUE","Due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IF($Q631&lt;&gt;"Yes","",IF(COUNTIFS(nrES_PID,$D631,nrES_Code,$F631,nrES_Att,2)&gt;0,"Retested",IF(OR($T631="",NOT(ISNUMBER($T631))),"Pending",IF(TODAY()&gt;$T631,"OVERDUE","Due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IF($Q632&lt;&gt;"Yes","",IF(COUNTIFS(nrES_PID,$D632,nrES_Code,$F632,nrES_Att,2)&gt;0,"Retested",IF(OR($T632="",NOT(ISNUMBER($T632))),"Pending",IF(TODAY()&gt;$T632,"OVERDUE","Due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IF($Q633&lt;&gt;"Yes","",IF(COUNTIFS(nrES_PID,$D633,nrES_Code,$F633,nrES_Att,2)&gt;0,"Retested",IF(OR($T633="",NOT(ISNUMBER($T633))),"Pending",IF(TODAY()&gt;$T633,"OVERDUE","Due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IF($Q634&lt;&gt;"Yes","",IF(COUNTIFS(nrES_PID,$D634,nrES_Code,$F634,nrES_Att,2)&gt;0,"Retested",IF(OR($T634="",NOT(ISNUMBER($T634))),"Pending",IF(TODAY()&gt;$T634,"OVERDUE","Due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IF($Q635&lt;&gt;"Yes","",IF(COUNTIFS(nrES_PID,$D635,nrES_Code,$F635,nrES_Att,2)&gt;0,"Retested",IF(OR($T635="",NOT(ISNUMBER($T635))),"Pending",IF(TODAY()&gt;$T635,"OVERDUE","Due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IF($Q636&lt;&gt;"Yes","",IF(COUNTIFS(nrES_PID,$D636,nrES_Code,$F636,nrES_Att,2)&gt;0,"Retested",IF(OR($T636="",NOT(ISNUMBER($T636))),"Pending",IF(TODAY()&gt;$T636,"OVERDUE","Due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IF($Q637&lt;&gt;"Yes","",IF(COUNTIFS(nrES_PID,$D637,nrES_Code,$F637,nrES_Att,2)&gt;0,"Retested",IF(OR($T637="",NOT(ISNUMBER($T637))),"Pending",IF(TODAY()&gt;$T637,"OVERDUE","Due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IF($Q638&lt;&gt;"Yes","",IF(COUNTIFS(nrES_PID,$D638,nrES_Code,$F638,nrES_Att,2)&gt;0,"Retested",IF(OR($T638="",NOT(ISNUMBER($T638))),"Pending",IF(TODAY()&gt;$T638,"OVERDUE","Due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IF($Q639&lt;&gt;"Yes","",IF(COUNTIFS(nrES_PID,$D639,nrES_Code,$F639,nrES_Att,2)&gt;0,"Retested",IF(OR($T639="",NOT(ISNUMBER($T639))),"Pending",IF(TODAY()&gt;$T639,"OVERDUE","Due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IF($Q640&lt;&gt;"Yes","",IF(COUNTIFS(nrES_PID,$D640,nrES_Code,$F640,nrES_Att,2)&gt;0,"Retested",IF(OR($T640="",NOT(ISNUMBER($T640))),"Pending",IF(TODAY()&gt;$T640,"OVERDUE","Due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IF($Q641&lt;&gt;"Yes","",IF(COUNTIFS(nrES_PID,$D641,nrES_Code,$F641,nrES_Att,2)&gt;0,"Retested",IF(OR($T641="",NOT(ISNUMBER($T641))),"Pending",IF(TODAY()&gt;$T641,"OVERDUE","Due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IF($Q642&lt;&gt;"Yes","",IF(COUNTIFS(nrES_PID,$D642,nrES_Code,$F642,nrES_Att,2)&gt;0,"Retested",IF(OR($T642="",NOT(ISNUMBER($T642))),"Pending",IF(TODAY()&gt;$T642,"OVERDUE","Due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IF($Q643&lt;&gt;"Yes","",IF(COUNTIFS(nrES_PID,$D643,nrES_Code,$F643,nrES_Att,2)&gt;0,"Retested",IF(OR($T643="",NOT(ISNUMBER($T643))),"Pending",IF(TODAY()&gt;$T643,"OVERDUE","Due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IF($Q644&lt;&gt;"Yes","",IF(COUNTIFS(nrES_PID,$D644,nrES_Code,$F644,nrES_Att,2)&gt;0,"Retested",IF(OR($T644="",NOT(ISNUMBER($T644))),"Pending",IF(TODAY()&gt;$T644,"OVERDUE","Due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IF($Q645&lt;&gt;"Yes","",IF(COUNTIFS(nrES_PID,$D645,nrES_Code,$F645,nrES_Att,2)&gt;0,"Retested",IF(OR($T645="",NOT(ISNUMBER($T645))),"Pending",IF(TODAY()&gt;$T645,"OVERDUE","Due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IF($Q646&lt;&gt;"Yes","",IF(COUNTIFS(nrES_PID,$D646,nrES_Code,$F646,nrES_Att,2)&gt;0,"Retested",IF(OR($T646="",NOT(ISNUMBER($T646))),"Pending",IF(TODAY()&gt;$T646,"OVERDUE","Due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IF($Q647&lt;&gt;"Yes","",IF(COUNTIFS(nrES_PID,$D647,nrES_Code,$F647,nrES_Att,2)&gt;0,"Retested",IF(OR($T647="",NOT(ISNUMBER($T647))),"Pending",IF(TODAY()&gt;$T647,"OVERDUE","Due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IF($Q648&lt;&gt;"Yes","",IF(COUNTIFS(nrES_PID,$D648,nrES_Code,$F648,nrES_Att,2)&gt;0,"Retested",IF(OR($T648="",NOT(ISNUMBER($T648))),"Pending",IF(TODAY()&gt;$T648,"OVERDUE","Due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IF($Q649&lt;&gt;"Yes","",IF(COUNTIFS(nrES_PID,$D649,nrES_Code,$F649,nrES_Att,2)&gt;0,"Retested",IF(OR($T649="",NOT(ISNUMBER($T649))),"Pending",IF(TODAY()&gt;$T649,"OVERDUE","Due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IF($Q650&lt;&gt;"Yes","",IF(COUNTIFS(nrES_PID,$D650,nrES_Code,$F650,nrES_Att,2)&gt;0,"Retested",IF(OR($T650="",NOT(ISNUMBER($T650))),"Pending",IF(TODAY()&gt;$T650,"OVERDUE","Due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IF($Q651&lt;&gt;"Yes","",IF(COUNTIFS(nrES_PID,$D651,nrES_Code,$F651,nrES_Att,2)&gt;0,"Retested",IF(OR($T651="",NOT(ISNUMBER($T651))),"Pending",IF(TODAY()&gt;$T651,"OVERDUE","Due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IF($Q652&lt;&gt;"Yes","",IF(COUNTIFS(nrES_PID,$D652,nrES_Code,$F652,nrES_Att,2)&gt;0,"Retested",IF(OR($T652="",NOT(ISNUMBER($T652))),"Pending",IF(TODAY()&gt;$T652,"OVERDUE","Due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IF($Q653&lt;&gt;"Yes","",IF(COUNTIFS(nrES_PID,$D653,nrES_Code,$F653,nrES_Att,2)&gt;0,"Retested",IF(OR($T653="",NOT(ISNUMBER($T653))),"Pending",IF(TODAY()&gt;$T653,"OVERDUE","Due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IF($Q654&lt;&gt;"Yes","",IF(COUNTIFS(nrES_PID,$D654,nrES_Code,$F654,nrES_Att,2)&gt;0,"Retested",IF(OR($T654="",NOT(ISNUMBER($T654))),"Pending",IF(TODAY()&gt;$T654,"OVERDUE","Due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IF($Q655&lt;&gt;"Yes","",IF(COUNTIFS(nrES_PID,$D655,nrES_Code,$F655,nrES_Att,2)&gt;0,"Retested",IF(OR($T655="",NOT(ISNUMBER($T655))),"Pending",IF(TODAY()&gt;$T655,"OVERDUE","Due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IF($Q656&lt;&gt;"Yes","",IF(COUNTIFS(nrES_PID,$D656,nrES_Code,$F656,nrES_Att,2)&gt;0,"Retested",IF(OR($T656="",NOT(ISNUMBER($T656))),"Pending",IF(TODAY()&gt;$T656,"OVERDUE","Due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IF($Q657&lt;&gt;"Yes","",IF(COUNTIFS(nrES_PID,$D657,nrES_Code,$F657,nrES_Att,2)&gt;0,"Retested",IF(OR($T657="",NOT(ISNUMBER($T657))),"Pending",IF(TODAY()&gt;$T657,"OVERDUE","Due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IF($Q658&lt;&gt;"Yes","",IF(COUNTIFS(nrES_PID,$D658,nrES_Code,$F658,nrES_Att,2)&gt;0,"Retested",IF(OR($T658="",NOT(ISNUMBER($T658))),"Pending",IF(TODAY()&gt;$T658,"OVERDUE","Due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IF($Q659&lt;&gt;"Yes","",IF(COUNTIFS(nrES_PID,$D659,nrES_Code,$F659,nrES_Att,2)&gt;0,"Retested",IF(OR($T659="",NOT(ISNUMBER($T659))),"Pending",IF(TODAY()&gt;$T659,"OVERDUE","Due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IF($Q660&lt;&gt;"Yes","",IF(COUNTIFS(nrES_PID,$D660,nrES_Code,$F660,nrES_Att,2)&gt;0,"Retested",IF(OR($T660="",NOT(ISNUMBER($T660))),"Pending",IF(TODAY()&gt;$T660,"OVERDUE","Due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IF($Q661&lt;&gt;"Yes","",IF(COUNTIFS(nrES_PID,$D661,nrES_Code,$F661,nrES_Att,2)&gt;0,"Retested",IF(OR($T661="",NOT(ISNUMBER($T661))),"Pending",IF(TODAY()&gt;$T661,"OVERDUE","Due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IF($Q662&lt;&gt;"Yes","",IF(COUNTIFS(nrES_PID,$D662,nrES_Code,$F662,nrES_Att,2)&gt;0,"Retested",IF(OR($T662="",NOT(ISNUMBER($T662))),"Pending",IF(TODAY()&gt;$T662,"OVERDUE","Due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IF($Q663&lt;&gt;"Yes","",IF(COUNTIFS(nrES_PID,$D663,nrES_Code,$F663,nrES_Att,2)&gt;0,"Retested",IF(OR($T663="",NOT(ISNUMBER($T663))),"Pending",IF(TODAY()&gt;$T663,"OVERDUE","Due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IF($Q664&lt;&gt;"Yes","",IF(COUNTIFS(nrES_PID,$D664,nrES_Code,$F664,nrES_Att,2)&gt;0,"Retested",IF(OR($T664="",NOT(ISNUMBER($T664))),"Pending",IF(TODAY()&gt;$T664,"OVERDUE","Due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IF($Q665&lt;&gt;"Yes","",IF(COUNTIFS(nrES_PID,$D665,nrES_Code,$F665,nrES_Att,2)&gt;0,"Retested",IF(OR($T665="",NOT(ISNUMBER($T665))),"Pending",IF(TODAY()&gt;$T665,"OVERDUE","Due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IF($Q666&lt;&gt;"Yes","",IF(COUNTIFS(nrES_PID,$D666,nrES_Code,$F666,nrES_Att,2)&gt;0,"Retested",IF(OR($T666="",NOT(ISNUMBER($T666))),"Pending",IF(TODAY()&gt;$T666,"OVERDUE","Due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IF($Q667&lt;&gt;"Yes","",IF(COUNTIFS(nrES_PID,$D667,nrES_Code,$F667,nrES_Att,2)&gt;0,"Retested",IF(OR($T667="",NOT(ISNUMBER($T667))),"Pending",IF(TODAY()&gt;$T667,"OVERDUE","Due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IF($Q668&lt;&gt;"Yes","",IF(COUNTIFS(nrES_PID,$D668,nrES_Code,$F668,nrES_Att,2)&gt;0,"Retested",IF(OR($T668="",NOT(ISNUMBER($T668))),"Pending",IF(TODAY()&gt;$T668,"OVERDUE","Due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IF($Q669&lt;&gt;"Yes","",IF(COUNTIFS(nrES_PID,$D669,nrES_Code,$F669,nrES_Att,2)&gt;0,"Retested",IF(OR($T669="",NOT(ISNUMBER($T669))),"Pending",IF(TODAY()&gt;$T669,"OVERDUE","Due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IF($Q670&lt;&gt;"Yes","",IF(COUNTIFS(nrES_PID,$D670,nrES_Code,$F670,nrES_Att,2)&gt;0,"Retested",IF(OR($T670="",NOT(ISNUMBER($T670))),"Pending",IF(TODAY()&gt;$T670,"OVERDUE","Due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IF($Q671&lt;&gt;"Yes","",IF(COUNTIFS(nrES_PID,$D671,nrES_Code,$F671,nrES_Att,2)&gt;0,"Retested",IF(OR($T671="",NOT(ISNUMBER($T671))),"Pending",IF(TODAY()&gt;$T671,"OVERDUE","Due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IF($Q672&lt;&gt;"Yes","",IF(COUNTIFS(nrES_PID,$D672,nrES_Code,$F672,nrES_Att,2)&gt;0,"Retested",IF(OR($T672="",NOT(ISNUMBER($T672))),"Pending",IF(TODAY()&gt;$T672,"OVERDUE","Due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IF($Q673&lt;&gt;"Yes","",IF(COUNTIFS(nrES_PID,$D673,nrES_Code,$F673,nrES_Att,2)&gt;0,"Retested",IF(OR($T673="",NOT(ISNUMBER($T673))),"Pending",IF(TODAY()&gt;$T673,"OVERDUE","Due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IF($Q674&lt;&gt;"Yes","",IF(COUNTIFS(nrES_PID,$D674,nrES_Code,$F674,nrES_Att,2)&gt;0,"Retested",IF(OR($T674="",NOT(ISNUMBER($T674))),"Pending",IF(TODAY()&gt;$T674,"OVERDUE","Due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IF($Q675&lt;&gt;"Yes","",IF(COUNTIFS(nrES_PID,$D675,nrES_Code,$F675,nrES_Att,2)&gt;0,"Retested",IF(OR($T675="",NOT(ISNUMBER($T675))),"Pending",IF(TODAY()&gt;$T675,"OVERDUE","Due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IF($Q676&lt;&gt;"Yes","",IF(COUNTIFS(nrES_PID,$D676,nrES_Code,$F676,nrES_Att,2)&gt;0,"Retested",IF(OR($T676="",NOT(ISNUMBER($T676))),"Pending",IF(TODAY()&gt;$T676,"OVERDUE","Due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IF($Q677&lt;&gt;"Yes","",IF(COUNTIFS(nrES_PID,$D677,nrES_Code,$F677,nrES_Att,2)&gt;0,"Retested",IF(OR($T677="",NOT(ISNUMBER($T677))),"Pending",IF(TODAY()&gt;$T677,"OVERDUE","Due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IF($Q678&lt;&gt;"Yes","",IF(COUNTIFS(nrES_PID,$D678,nrES_Code,$F678,nrES_Att,2)&gt;0,"Retested",IF(OR($T678="",NOT(ISNUMBER($T678))),"Pending",IF(TODAY()&gt;$T678,"OVERDUE","Due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IF($Q679&lt;&gt;"Yes","",IF(COUNTIFS(nrES_PID,$D679,nrES_Code,$F679,nrES_Att,2)&gt;0,"Retested",IF(OR($T679="",NOT(ISNUMBER($T679))),"Pending",IF(TODAY()&gt;$T679,"OVERDUE","Due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IF($Q680&lt;&gt;"Yes","",IF(COUNTIFS(nrES_PID,$D680,nrES_Code,$F680,nrES_Att,2)&gt;0,"Retested",IF(OR($T680="",NOT(ISNUMBER($T680))),"Pending",IF(TODAY()&gt;$T680,"OVERDUE","Due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IF($Q681&lt;&gt;"Yes","",IF(COUNTIFS(nrES_PID,$D681,nrES_Code,$F681,nrES_Att,2)&gt;0,"Retested",IF(OR($T681="",NOT(ISNUMBER($T681))),"Pending",IF(TODAY()&gt;$T681,"OVERDUE","Due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IF($Q682&lt;&gt;"Yes","",IF(COUNTIFS(nrES_PID,$D682,nrES_Code,$F682,nrES_Att,2)&gt;0,"Retested",IF(OR($T682="",NOT(ISNUMBER($T682))),"Pending",IF(TODAY()&gt;$T682,"OVERDUE","Due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IF($Q683&lt;&gt;"Yes","",IF(COUNTIFS(nrES_PID,$D683,nrES_Code,$F683,nrES_Att,2)&gt;0,"Retested",IF(OR($T683="",NOT(ISNUMBER($T683))),"Pending",IF(TODAY()&gt;$T683,"OVERDUE","Due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IF($Q684&lt;&gt;"Yes","",IF(COUNTIFS(nrES_PID,$D684,nrES_Code,$F684,nrES_Att,2)&gt;0,"Retested",IF(OR($T684="",NOT(ISNUMBER($T684))),"Pending",IF(TODAY()&gt;$T684,"OVERDUE","Due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IF($Q685&lt;&gt;"Yes","",IF(COUNTIFS(nrES_PID,$D685,nrES_Code,$F685,nrES_Att,2)&gt;0,"Retested",IF(OR($T685="",NOT(ISNUMBER($T685))),"Pending",IF(TODAY()&gt;$T685,"OVERDUE","Due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IF($Q686&lt;&gt;"Yes","",IF(COUNTIFS(nrES_PID,$D686,nrES_Code,$F686,nrES_Att,2)&gt;0,"Retested",IF(OR($T686="",NOT(ISNUMBER($T686))),"Pending",IF(TODAY()&gt;$T686,"OVERDUE","Due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IF($Q687&lt;&gt;"Yes","",IF(COUNTIFS(nrES_PID,$D687,nrES_Code,$F687,nrES_Att,2)&gt;0,"Retested",IF(OR($T687="",NOT(ISNUMBER($T687))),"Pending",IF(TODAY()&gt;$T687,"OVERDUE","Due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IF($Q688&lt;&gt;"Yes","",IF(COUNTIFS(nrES_PID,$D688,nrES_Code,$F688,nrES_Att,2)&gt;0,"Retested",IF(OR($T688="",NOT(ISNUMBER($T688))),"Pending",IF(TODAY()&gt;$T688,"OVERDUE","Due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IF($Q689&lt;&gt;"Yes","",IF(COUNTIFS(nrES_PID,$D689,nrES_Code,$F689,nrES_Att,2)&gt;0,"Retested",IF(OR($T689="",NOT(ISNUMBER($T689))),"Pending",IF(TODAY()&gt;$T689,"OVERDUE","Due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IF($Q690&lt;&gt;"Yes","",IF(COUNTIFS(nrES_PID,$D690,nrES_Code,$F690,nrES_Att,2)&gt;0,"Retested",IF(OR($T690="",NOT(ISNUMBER($T690))),"Pending",IF(TODAY()&gt;$T690,"OVERDUE","Due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IF($Q691&lt;&gt;"Yes","",IF(COUNTIFS(nrES_PID,$D691,nrES_Code,$F691,nrES_Att,2)&gt;0,"Retested",IF(OR($T691="",NOT(ISNUMBER($T691))),"Pending",IF(TODAY()&gt;$T691,"OVERDUE","Due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IF($Q692&lt;&gt;"Yes","",IF(COUNTIFS(nrES_PID,$D692,nrES_Code,$F692,nrES_Att,2)&gt;0,"Retested",IF(OR($T692="",NOT(ISNUMBER($T692))),"Pending",IF(TODAY()&gt;$T692,"OVERDUE","Due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IF($Q693&lt;&gt;"Yes","",IF(COUNTIFS(nrES_PID,$D693,nrES_Code,$F693,nrES_Att,2)&gt;0,"Retested",IF(OR($T693="",NOT(ISNUMBER($T693))),"Pending",IF(TODAY()&gt;$T693,"OVERDUE","Due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IF($Q694&lt;&gt;"Yes","",IF(COUNTIFS(nrES_PID,$D694,nrES_Code,$F694,nrES_Att,2)&gt;0,"Retested",IF(OR($T694="",NOT(ISNUMBER($T694))),"Pending",IF(TODAY()&gt;$T694,"OVERDUE","Due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IF($Q695&lt;&gt;"Yes","",IF(COUNTIFS(nrES_PID,$D695,nrES_Code,$F695,nrES_Att,2)&gt;0,"Retested",IF(OR($T695="",NOT(ISNUMBER($T695))),"Pending",IF(TODAY()&gt;$T695,"OVERDUE","Due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IF($Q696&lt;&gt;"Yes","",IF(COUNTIFS(nrES_PID,$D696,nrES_Code,$F696,nrES_Att,2)&gt;0,"Retested",IF(OR($T696="",NOT(ISNUMBER($T696))),"Pending",IF(TODAY()&gt;$T696,"OVERDUE","Due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IF($Q697&lt;&gt;"Yes","",IF(COUNTIFS(nrES_PID,$D697,nrES_Code,$F697,nrES_Att,2)&gt;0,"Retested",IF(OR($T697="",NOT(ISNUMBER($T697))),"Pending",IF(TODAY()&gt;$T697,"OVERDUE","Due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IF($Q698&lt;&gt;"Yes","",IF(COUNTIFS(nrES_PID,$D698,nrES_Code,$F698,nrES_Att,2)&gt;0,"Retested",IF(OR($T698="",NOT(ISNUMBER($T698))),"Pending",IF(TODAY()&gt;$T698,"OVERDUE","Due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IF($Q699&lt;&gt;"Yes","",IF(COUNTIFS(nrES_PID,$D699,nrES_Code,$F699,nrES_Att,2)&gt;0,"Retested",IF(OR($T699="",NOT(ISNUMBER($T699))),"Pending",IF(TODAY()&gt;$T699,"OVERDUE","Due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IF($Q700&lt;&gt;"Yes","",IF(COUNTIFS(nrES_PID,$D700,nrES_Code,$F700,nrES_Att,2)&gt;0,"Retested",IF(OR($T700="",NOT(ISNUMBER($T700))),"Pending",IF(TODAY()&gt;$T700,"OVERDUE","Due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IF($Q701&lt;&gt;"Yes","",IF(COUNTIFS(nrES_PID,$D701,nrES_Code,$F701,nrES_Att,2)&gt;0,"Retested",IF(OR($T701="",NOT(ISNUMBER($T701))),"Pending",IF(TODAY()&gt;$T701,"OVERDUE","Due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IF($Q702&lt;&gt;"Yes","",IF(COUNTIFS(nrES_PID,$D702,nrES_Code,$F702,nrES_Att,2)&gt;0,"Retested",IF(OR($T702="",NOT(ISNUMBER($T702))),"Pending",IF(TODAY()&gt;$T702,"OVERDUE","Due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IF($Q703&lt;&gt;"Yes","",IF(COUNTIFS(nrES_PID,$D703,nrES_Code,$F703,nrES_Att,2)&gt;0,"Retested",IF(OR($T703="",NOT(ISNUMBER($T703))),"Pending",IF(TODAY()&gt;$T703,"OVERDUE","Due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IF($Q704&lt;&gt;"Yes","",IF(COUNTIFS(nrES_PID,$D704,nrES_Code,$F704,nrES_Att,2)&gt;0,"Retested",IF(OR($T704="",NOT(ISNUMBER($T704))),"Pending",IF(TODAY()&gt;$T704,"OVERDUE","Due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IF($Q705&lt;&gt;"Yes","",IF(COUNTIFS(nrES_PID,$D705,nrES_Code,$F705,nrES_Att,2)&gt;0,"Retested",IF(OR($T705="",NOT(ISNUMBER($T705))),"Pending",IF(TODAY()&gt;$T705,"OVERDUE","Due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IF($Q706&lt;&gt;"Yes","",IF(COUNTIFS(nrES_PID,$D706,nrES_Code,$F706,nrES_Att,2)&gt;0,"Retested",IF(OR($T706="",NOT(ISNUMBER($T706))),"Pending",IF(TODAY()&gt;$T706,"OVERDUE","Due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IF($Q707&lt;&gt;"Yes","",IF(COUNTIFS(nrES_PID,$D707,nrES_Code,$F707,nrES_Att,2)&gt;0,"Retested",IF(OR($T707="",NOT(ISNUMBER($T707))),"Pending",IF(TODAY()&gt;$T707,"OVERDUE","Due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IF($Q708&lt;&gt;"Yes","",IF(COUNTIFS(nrES_PID,$D708,nrES_Code,$F708,nrES_Att,2)&gt;0,"Retested",IF(OR($T708="",NOT(ISNUMBER($T708))),"Pending",IF(TODAY()&gt;$T708,"OVERDUE","Due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IF($Q709&lt;&gt;"Yes","",IF(COUNTIFS(nrES_PID,$D709,nrES_Code,$F709,nrES_Att,2)&gt;0,"Retested",IF(OR($T709="",NOT(ISNUMBER($T709))),"Pending",IF(TODAY()&gt;$T709,"OVERDUE","Due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IF($Q710&lt;&gt;"Yes","",IF(COUNTIFS(nrES_PID,$D710,nrES_Code,$F710,nrES_Att,2)&gt;0,"Retested",IF(OR($T710="",NOT(ISNUMBER($T710))),"Pending",IF(TODAY()&gt;$T710,"OVERDUE","Due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IF($Q711&lt;&gt;"Yes","",IF(COUNTIFS(nrES_PID,$D711,nrES_Code,$F711,nrES_Att,2)&gt;0,"Retested",IF(OR($T711="",NOT(ISNUMBER($T711))),"Pending",IF(TODAY()&gt;$T711,"OVERDUE","Due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IF($Q712&lt;&gt;"Yes","",IF(COUNTIFS(nrES_PID,$D712,nrES_Code,$F712,nrES_Att,2)&gt;0,"Retested",IF(OR($T712="",NOT(ISNUMBER($T712))),"Pending",IF(TODAY()&gt;$T712,"OVERDUE","Due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IF($Q713&lt;&gt;"Yes","",IF(COUNTIFS(nrES_PID,$D713,nrES_Code,$F713,nrES_Att,2)&gt;0,"Retested",IF(OR($T713="",NOT(ISNUMBER($T713))),"Pending",IF(TODAY()&gt;$T713,"OVERDUE","Due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IF($Q714&lt;&gt;"Yes","",IF(COUNTIFS(nrES_PID,$D714,nrES_Code,$F714,nrES_Att,2)&gt;0,"Retested",IF(OR($T714="",NOT(ISNUMBER($T714))),"Pending",IF(TODAY()&gt;$T714,"OVERDUE","Due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IF($Q715&lt;&gt;"Yes","",IF(COUNTIFS(nrES_PID,$D715,nrES_Code,$F715,nrES_Att,2)&gt;0,"Retested",IF(OR($T715="",NOT(ISNUMBER($T715))),"Pending",IF(TODAY()&gt;$T715,"OVERDUE","Due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IF($Q716&lt;&gt;"Yes","",IF(COUNTIFS(nrES_PID,$D716,nrES_Code,$F716,nrES_Att,2)&gt;0,"Retested",IF(OR($T716="",NOT(ISNUMBER($T716))),"Pending",IF(TODAY()&gt;$T716,"OVERDUE","Due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IF($Q717&lt;&gt;"Yes","",IF(COUNTIFS(nrES_PID,$D717,nrES_Code,$F717,nrES_Att,2)&gt;0,"Retested",IF(OR($T717="",NOT(ISNUMBER($T717))),"Pending",IF(TODAY()&gt;$T717,"OVERDUE","Due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IF($Q718&lt;&gt;"Yes","",IF(COUNTIFS(nrES_PID,$D718,nrES_Code,$F718,nrES_Att,2)&gt;0,"Retested",IF(OR($T718="",NOT(ISNUMBER($T718))),"Pending",IF(TODAY()&gt;$T718,"OVERDUE","Due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IF($Q719&lt;&gt;"Yes","",IF(COUNTIFS(nrES_PID,$D719,nrES_Code,$F719,nrES_Att,2)&gt;0,"Retested",IF(OR($T719="",NOT(ISNUMBER($T719))),"Pending",IF(TODAY()&gt;$T719,"OVERDUE","Due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IF($Q720&lt;&gt;"Yes","",IF(COUNTIFS(nrES_PID,$D720,nrES_Code,$F720,nrES_Att,2)&gt;0,"Retested",IF(OR($T720="",NOT(ISNUMBER($T720))),"Pending",IF(TODAY()&gt;$T720,"OVERDUE","Due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IF($Q721&lt;&gt;"Yes","",IF(COUNTIFS(nrES_PID,$D721,nrES_Code,$F721,nrES_Att,2)&gt;0,"Retested",IF(OR($T721="",NOT(ISNUMBER($T721))),"Pending",IF(TODAY()&gt;$T721,"OVERDUE","Due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IF($Q722&lt;&gt;"Yes","",IF(COUNTIFS(nrES_PID,$D722,nrES_Code,$F722,nrES_Att,2)&gt;0,"Retested",IF(OR($T722="",NOT(ISNUMBER($T722))),"Pending",IF(TODAY()&gt;$T722,"OVERDUE","Due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IF($Q723&lt;&gt;"Yes","",IF(COUNTIFS(nrES_PID,$D723,nrES_Code,$F723,nrES_Att,2)&gt;0,"Retested",IF(OR($T723="",NOT(ISNUMBER($T723))),"Pending",IF(TODAY()&gt;$T723,"OVERDUE","Due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IF($Q724&lt;&gt;"Yes","",IF(COUNTIFS(nrES_PID,$D724,nrES_Code,$F724,nrES_Att,2)&gt;0,"Retested",IF(OR($T724="",NOT(ISNUMBER($T724))),"Pending",IF(TODAY()&gt;$T724,"OVERDUE","Due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IF($Q725&lt;&gt;"Yes","",IF(COUNTIFS(nrES_PID,$D725,nrES_Code,$F725,nrES_Att,2)&gt;0,"Retested",IF(OR($T725="",NOT(ISNUMBER($T725))),"Pending",IF(TODAY()&gt;$T725,"OVERDUE","Due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IF($Q726&lt;&gt;"Yes","",IF(COUNTIFS(nrES_PID,$D726,nrES_Code,$F726,nrES_Att,2)&gt;0,"Retested",IF(OR($T726="",NOT(ISNUMBER($T726))),"Pending",IF(TODAY()&gt;$T726,"OVERDUE","Due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IF($Q727&lt;&gt;"Yes","",IF(COUNTIFS(nrES_PID,$D727,nrES_Code,$F727,nrES_Att,2)&gt;0,"Retested",IF(OR($T727="",NOT(ISNUMBER($T727))),"Pending",IF(TODAY()&gt;$T727,"OVERDUE","Due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IF($Q728&lt;&gt;"Yes","",IF(COUNTIFS(nrES_PID,$D728,nrES_Code,$F728,nrES_Att,2)&gt;0,"Retested",IF(OR($T728="",NOT(ISNUMBER($T728))),"Pending",IF(TODAY()&gt;$T728,"OVERDUE","Due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IF($Q729&lt;&gt;"Yes","",IF(COUNTIFS(nrES_PID,$D729,nrES_Code,$F729,nrES_Att,2)&gt;0,"Retested",IF(OR($T729="",NOT(ISNUMBER($T729))),"Pending",IF(TODAY()&gt;$T729,"OVERDUE","Due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IF($Q730&lt;&gt;"Yes","",IF(COUNTIFS(nrES_PID,$D730,nrES_Code,$F730,nrES_Att,2)&gt;0,"Retested",IF(OR($T730="",NOT(ISNUMBER($T730))),"Pending",IF(TODAY()&gt;$T730,"OVERDUE","Due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IF($Q731&lt;&gt;"Yes","",IF(COUNTIFS(nrES_PID,$D731,nrES_Code,$F731,nrES_Att,2)&gt;0,"Retested",IF(OR($T731="",NOT(ISNUMBER($T731))),"Pending",IF(TODAY()&gt;$T731,"OVERDUE","Due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IF($Q732&lt;&gt;"Yes","",IF(COUNTIFS(nrES_PID,$D732,nrES_Code,$F732,nrES_Att,2)&gt;0,"Retested",IF(OR($T732="",NOT(ISNUMBER($T732))),"Pending",IF(TODAY()&gt;$T732,"OVERDUE","Due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IF($Q733&lt;&gt;"Yes","",IF(COUNTIFS(nrES_PID,$D733,nrES_Code,$F733,nrES_Att,2)&gt;0,"Retested",IF(OR($T733="",NOT(ISNUMBER($T733))),"Pending",IF(TODAY()&gt;$T733,"OVERDUE","Due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IF($Q734&lt;&gt;"Yes","",IF(COUNTIFS(nrES_PID,$D734,nrES_Code,$F734,nrES_Att,2)&gt;0,"Retested",IF(OR($T734="",NOT(ISNUMBER($T734))),"Pending",IF(TODAY()&gt;$T734,"OVERDUE","Due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IF($Q735&lt;&gt;"Yes","",IF(COUNTIFS(nrES_PID,$D735,nrES_Code,$F735,nrES_Att,2)&gt;0,"Retested",IF(OR($T735="",NOT(ISNUMBER($T735))),"Pending",IF(TODAY()&gt;$T735,"OVERDUE","Due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IF($Q736&lt;&gt;"Yes","",IF(COUNTIFS(nrES_PID,$D736,nrES_Code,$F736,nrES_Att,2)&gt;0,"Retested",IF(OR($T736="",NOT(ISNUMBER($T736))),"Pending",IF(TODAY()&gt;$T736,"OVERDUE","Due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IF($Q737&lt;&gt;"Yes","",IF(COUNTIFS(nrES_PID,$D737,nrES_Code,$F737,nrES_Att,2)&gt;0,"Retested",IF(OR($T737="",NOT(ISNUMBER($T737))),"Pending",IF(TODAY()&gt;$T737,"OVERDUE","Due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IF($Q738&lt;&gt;"Yes","",IF(COUNTIFS(nrES_PID,$D738,nrES_Code,$F738,nrES_Att,2)&gt;0,"Retested",IF(OR($T738="",NOT(ISNUMBER($T738))),"Pending",IF(TODAY()&gt;$T738,"OVERDUE","Due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IF($Q739&lt;&gt;"Yes","",IF(COUNTIFS(nrES_PID,$D739,nrES_Code,$F739,nrES_Att,2)&gt;0,"Retested",IF(OR($T739="",NOT(ISNUMBER($T739))),"Pending",IF(TODAY()&gt;$T739,"OVERDUE","Due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IF($Q740&lt;&gt;"Yes","",IF(COUNTIFS(nrES_PID,$D740,nrES_Code,$F740,nrES_Att,2)&gt;0,"Retested",IF(OR($T740="",NOT(ISNUMBER($T740))),"Pending",IF(TODAY()&gt;$T740,"OVERDUE","Due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IF($Q741&lt;&gt;"Yes","",IF(COUNTIFS(nrES_PID,$D741,nrES_Code,$F741,nrES_Att,2)&gt;0,"Retested",IF(OR($T741="",NOT(ISNUMBER($T741))),"Pending",IF(TODAY()&gt;$T741,"OVERDUE","Due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IF($Q742&lt;&gt;"Yes","",IF(COUNTIFS(nrES_PID,$D742,nrES_Code,$F742,nrES_Att,2)&gt;0,"Retested",IF(OR($T742="",NOT(ISNUMBER($T742))),"Pending",IF(TODAY()&gt;$T742,"OVERDUE","Due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IF($Q743&lt;&gt;"Yes","",IF(COUNTIFS(nrES_PID,$D743,nrES_Code,$F743,nrES_Att,2)&gt;0,"Retested",IF(OR($T743="",NOT(ISNUMBER($T743))),"Pending",IF(TODAY()&gt;$T743,"OVERDUE","Due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IF($Q744&lt;&gt;"Yes","",IF(COUNTIFS(nrES_PID,$D744,nrES_Code,$F744,nrES_Att,2)&gt;0,"Retested",IF(OR($T744="",NOT(ISNUMBER($T744))),"Pending",IF(TODAY()&gt;$T744,"OVERDUE","Due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IF($Q745&lt;&gt;"Yes","",IF(COUNTIFS(nrES_PID,$D745,nrES_Code,$F745,nrES_Att,2)&gt;0,"Retested",IF(OR($T745="",NOT(ISNUMBER($T745))),"Pending",IF(TODAY()&gt;$T745,"OVERDUE","Due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IF($Q746&lt;&gt;"Yes","",IF(COUNTIFS(nrES_PID,$D746,nrES_Code,$F746,nrES_Att,2)&gt;0,"Retested",IF(OR($T746="",NOT(ISNUMBER($T746))),"Pending",IF(TODAY()&gt;$T746,"OVERDUE","Due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IF($Q747&lt;&gt;"Yes","",IF(COUNTIFS(nrES_PID,$D747,nrES_Code,$F747,nrES_Att,2)&gt;0,"Retested",IF(OR($T747="",NOT(ISNUMBER($T747))),"Pending",IF(TODAY()&gt;$T747,"OVERDUE","Due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IF($Q748&lt;&gt;"Yes","",IF(COUNTIFS(nrES_PID,$D748,nrES_Code,$F748,nrES_Att,2)&gt;0,"Retested",IF(OR($T748="",NOT(ISNUMBER($T748))),"Pending",IF(TODAY()&gt;$T748,"OVERDUE","Due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IF($Q749&lt;&gt;"Yes","",IF(COUNTIFS(nrES_PID,$D749,nrES_Code,$F749,nrES_Att,2)&gt;0,"Retested",IF(OR($T749="",NOT(ISNUMBER($T749))),"Pending",IF(TODAY()&gt;$T749,"OVERDUE","Due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IF($Q750&lt;&gt;"Yes","",IF(COUNTIFS(nrES_PID,$D750,nrES_Code,$F750,nrES_Att,2)&gt;0,"Retested",IF(OR($T750="",NOT(ISNUMBER($T750))),"Pending",IF(TODAY()&gt;$T750,"OVERDUE","Due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IF($Q751&lt;&gt;"Yes","",IF(COUNTIFS(nrES_PID,$D751,nrES_Code,$F751,nrES_Att,2)&gt;0,"Retested",IF(OR($T751="",NOT(ISNUMBER($T751))),"Pending",IF(TODAY()&gt;$T751,"OVERDUE","Due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IF($Q752&lt;&gt;"Yes","",IF(COUNTIFS(nrES_PID,$D752,nrES_Code,$F752,nrES_Att,2)&gt;0,"Retested",IF(OR($T752="",NOT(ISNUMBER($T752))),"Pending",IF(TODAY()&gt;$T752,"OVERDUE","Due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IF($Q753&lt;&gt;"Yes","",IF(COUNTIFS(nrES_PID,$D753,nrES_Code,$F753,nrES_Att,2)&gt;0,"Retested",IF(OR($T753="",NOT(ISNUMBER($T753))),"Pending",IF(TODAY()&gt;$T753,"OVERDUE","Due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IF($Q754&lt;&gt;"Yes","",IF(COUNTIFS(nrES_PID,$D754,nrES_Code,$F754,nrES_Att,2)&gt;0,"Retested",IF(OR($T754="",NOT(ISNUMBER($T754))),"Pending",IF(TODAY()&gt;$T754,"OVERDUE","Due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IF($Q755&lt;&gt;"Yes","",IF(COUNTIFS(nrES_PID,$D755,nrES_Code,$F755,nrES_Att,2)&gt;0,"Retested",IF(OR($T755="",NOT(ISNUMBER($T755))),"Pending",IF(TODAY()&gt;$T755,"OVERDUE","Due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IF($Q756&lt;&gt;"Yes","",IF(COUNTIFS(nrES_PID,$D756,nrES_Code,$F756,nrES_Att,2)&gt;0,"Retested",IF(OR($T756="",NOT(ISNUMBER($T756))),"Pending",IF(TODAY()&gt;$T756,"OVERDUE","Due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IF($Q757&lt;&gt;"Yes","",IF(COUNTIFS(nrES_PID,$D757,nrES_Code,$F757,nrES_Att,2)&gt;0,"Retested",IF(OR($T757="",NOT(ISNUMBER($T757))),"Pending",IF(TODAY()&gt;$T757,"OVERDUE","Due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IF($Q758&lt;&gt;"Yes","",IF(COUNTIFS(nrES_PID,$D758,nrES_Code,$F758,nrES_Att,2)&gt;0,"Retested",IF(OR($T758="",NOT(ISNUMBER($T758))),"Pending",IF(TODAY()&gt;$T758,"OVERDUE","Due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IF($Q759&lt;&gt;"Yes","",IF(COUNTIFS(nrES_PID,$D759,nrES_Code,$F759,nrES_Att,2)&gt;0,"Retested",IF(OR($T759="",NOT(ISNUMBER($T759))),"Pending",IF(TODAY()&gt;$T759,"OVERDUE","Due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IF($Q760&lt;&gt;"Yes","",IF(COUNTIFS(nrES_PID,$D760,nrES_Code,$F760,nrES_Att,2)&gt;0,"Retested",IF(OR($T760="",NOT(ISNUMBER($T760))),"Pending",IF(TODAY()&gt;$T760,"OVERDUE","Due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IF($Q761&lt;&gt;"Yes","",IF(COUNTIFS(nrES_PID,$D761,nrES_Code,$F761,nrES_Att,2)&gt;0,"Retested",IF(OR($T761="",NOT(ISNUMBER($T761))),"Pending",IF(TODAY()&gt;$T761,"OVERDUE","Due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IF($Q762&lt;&gt;"Yes","",IF(COUNTIFS(nrES_PID,$D762,nrES_Code,$F762,nrES_Att,2)&gt;0,"Retested",IF(OR($T762="",NOT(ISNUMBER($T762))),"Pending",IF(TODAY()&gt;$T762,"OVERDUE","Due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IF($Q763&lt;&gt;"Yes","",IF(COUNTIFS(nrES_PID,$D763,nrES_Code,$F763,nrES_Att,2)&gt;0,"Retested",IF(OR($T763="",NOT(ISNUMBER($T763))),"Pending",IF(TODAY()&gt;$T763,"OVERDUE","Due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IF($Q764&lt;&gt;"Yes","",IF(COUNTIFS(nrES_PID,$D764,nrES_Code,$F764,nrES_Att,2)&gt;0,"Retested",IF(OR($T764="",NOT(ISNUMBER($T764))),"Pending",IF(TODAY()&gt;$T764,"OVERDUE","Due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IF($Q765&lt;&gt;"Yes","",IF(COUNTIFS(nrES_PID,$D765,nrES_Code,$F765,nrES_Att,2)&gt;0,"Retested",IF(OR($T765="",NOT(ISNUMBER($T765))),"Pending",IF(TODAY()&gt;$T765,"OVERDUE","Due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IF($Q766&lt;&gt;"Yes","",IF(COUNTIFS(nrES_PID,$D766,nrES_Code,$F766,nrES_Att,2)&gt;0,"Retested",IF(OR($T766="",NOT(ISNUMBER($T766))),"Pending",IF(TODAY()&gt;$T766,"OVERDUE","Due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IF($Q767&lt;&gt;"Yes","",IF(COUNTIFS(nrES_PID,$D767,nrES_Code,$F767,nrES_Att,2)&gt;0,"Retested",IF(OR($T767="",NOT(ISNUMBER($T767))),"Pending",IF(TODAY()&gt;$T767,"OVERDUE","Due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IF($Q768&lt;&gt;"Yes","",IF(COUNTIFS(nrES_PID,$D768,nrES_Code,$F768,nrES_Att,2)&gt;0,"Retested",IF(OR($T768="",NOT(ISNUMBER($T768))),"Pending",IF(TODAY()&gt;$T768,"OVERDUE","Due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IF($Q769&lt;&gt;"Yes","",IF(COUNTIFS(nrES_PID,$D769,nrES_Code,$F769,nrES_Att,2)&gt;0,"Retested",IF(OR($T769="",NOT(ISNUMBER($T769))),"Pending",IF(TODAY()&gt;$T769,"OVERDUE","Due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IF($Q770&lt;&gt;"Yes","",IF(COUNTIFS(nrES_PID,$D770,nrES_Code,$F770,nrES_Att,2)&gt;0,"Retested",IF(OR($T770="",NOT(ISNUMBER($T770))),"Pending",IF(TODAY()&gt;$T770,"OVERDUE","Due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IF($Q771&lt;&gt;"Yes","",IF(COUNTIFS(nrES_PID,$D771,nrES_Code,$F771,nrES_Att,2)&gt;0,"Retested",IF(OR($T771="",NOT(ISNUMBER($T771))),"Pending",IF(TODAY()&gt;$T771,"OVERDUE","Due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IF($Q772&lt;&gt;"Yes","",IF(COUNTIFS(nrES_PID,$D772,nrES_Code,$F772,nrES_Att,2)&gt;0,"Retested",IF(OR($T772="",NOT(ISNUMBER($T772))),"Pending",IF(TODAY()&gt;$T772,"OVERDUE","Due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IF($Q773&lt;&gt;"Yes","",IF(COUNTIFS(nrES_PID,$D773,nrES_Code,$F773,nrES_Att,2)&gt;0,"Retested",IF(OR($T773="",NOT(ISNUMBER($T773))),"Pending",IF(TODAY()&gt;$T773,"OVERDUE","Due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IF($Q774&lt;&gt;"Yes","",IF(COUNTIFS(nrES_PID,$D774,nrES_Code,$F774,nrES_Att,2)&gt;0,"Retested",IF(OR($T774="",NOT(ISNUMBER($T774))),"Pending",IF(TODAY()&gt;$T774,"OVERDUE","Due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IF($Q775&lt;&gt;"Yes","",IF(COUNTIFS(nrES_PID,$D775,nrES_Code,$F775,nrES_Att,2)&gt;0,"Retested",IF(OR($T775="",NOT(ISNUMBER($T775))),"Pending",IF(TODAY()&gt;$T775,"OVERDUE","Due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IF($Q776&lt;&gt;"Yes","",IF(COUNTIFS(nrES_PID,$D776,nrES_Code,$F776,nrES_Att,2)&gt;0,"Retested",IF(OR($T776="",NOT(ISNUMBER($T776))),"Pending",IF(TODAY()&gt;$T776,"OVERDUE","Due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IF($Q777&lt;&gt;"Yes","",IF(COUNTIFS(nrES_PID,$D777,nrES_Code,$F777,nrES_Att,2)&gt;0,"Retested",IF(OR($T777="",NOT(ISNUMBER($T777))),"Pending",IF(TODAY()&gt;$T777,"OVERDUE","Due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IF($Q778&lt;&gt;"Yes","",IF(COUNTIFS(nrES_PID,$D778,nrES_Code,$F778,nrES_Att,2)&gt;0,"Retested",IF(OR($T778="",NOT(ISNUMBER($T778))),"Pending",IF(TODAY()&gt;$T778,"OVERDUE","Due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IF($Q779&lt;&gt;"Yes","",IF(COUNTIFS(nrES_PID,$D779,nrES_Code,$F779,nrES_Att,2)&gt;0,"Retested",IF(OR($T779="",NOT(ISNUMBER($T779))),"Pending",IF(TODAY()&gt;$T779,"OVERDUE","Due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IF($Q780&lt;&gt;"Yes","",IF(COUNTIFS(nrES_PID,$D780,nrES_Code,$F780,nrES_Att,2)&gt;0,"Retested",IF(OR($T780="",NOT(ISNUMBER($T780))),"Pending",IF(TODAY()&gt;$T780,"OVERDUE","Due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IF($Q781&lt;&gt;"Yes","",IF(COUNTIFS(nrES_PID,$D781,nrES_Code,$F781,nrES_Att,2)&gt;0,"Retested",IF(OR($T781="",NOT(ISNUMBER($T781))),"Pending",IF(TODAY()&gt;$T781,"OVERDUE","Due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IF($Q782&lt;&gt;"Yes","",IF(COUNTIFS(nrES_PID,$D782,nrES_Code,$F782,nrES_Att,2)&gt;0,"Retested",IF(OR($T782="",NOT(ISNUMBER($T782))),"Pending",IF(TODAY()&gt;$T782,"OVERDUE","Due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IF($Q783&lt;&gt;"Yes","",IF(COUNTIFS(nrES_PID,$D783,nrES_Code,$F783,nrES_Att,2)&gt;0,"Retested",IF(OR($T783="",NOT(ISNUMBER($T783))),"Pending",IF(TODAY()&gt;$T783,"OVERDUE","Due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IF($Q784&lt;&gt;"Yes","",IF(COUNTIFS(nrES_PID,$D784,nrES_Code,$F784,nrES_Att,2)&gt;0,"Retested",IF(OR($T784="",NOT(ISNUMBER($T784))),"Pending",IF(TODAY()&gt;$T784,"OVERDUE","Due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IF($Q785&lt;&gt;"Yes","",IF(COUNTIFS(nrES_PID,$D785,nrES_Code,$F785,nrES_Att,2)&gt;0,"Retested",IF(OR($T785="",NOT(ISNUMBER($T785))),"Pending",IF(TODAY()&gt;$T785,"OVERDUE","Due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IF($Q786&lt;&gt;"Yes","",IF(COUNTIFS(nrES_PID,$D786,nrES_Code,$F786,nrES_Att,2)&gt;0,"Retested",IF(OR($T786="",NOT(ISNUMBER($T786))),"Pending",IF(TODAY()&gt;$T786,"OVERDUE","Due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IF($Q787&lt;&gt;"Yes","",IF(COUNTIFS(nrES_PID,$D787,nrES_Code,$F787,nrES_Att,2)&gt;0,"Retested",IF(OR($T787="",NOT(ISNUMBER($T787))),"Pending",IF(TODAY()&gt;$T787,"OVERDUE","Due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IF($Q788&lt;&gt;"Yes","",IF(COUNTIFS(nrES_PID,$D788,nrES_Code,$F788,nrES_Att,2)&gt;0,"Retested",IF(OR($T788="",NOT(ISNUMBER($T788))),"Pending",IF(TODAY()&gt;$T788,"OVERDUE","Due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IF($Q789&lt;&gt;"Yes","",IF(COUNTIFS(nrES_PID,$D789,nrES_Code,$F789,nrES_Att,2)&gt;0,"Retested",IF(OR($T789="",NOT(ISNUMBER($T789))),"Pending",IF(TODAY()&gt;$T789,"OVERDUE","Due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IF($Q790&lt;&gt;"Yes","",IF(COUNTIFS(nrES_PID,$D790,nrES_Code,$F790,nrES_Att,2)&gt;0,"Retested",IF(OR($T790="",NOT(ISNUMBER($T790))),"Pending",IF(TODAY()&gt;$T790,"OVERDUE","Due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IF($Q791&lt;&gt;"Yes","",IF(COUNTIFS(nrES_PID,$D791,nrES_Code,$F791,nrES_Att,2)&gt;0,"Retested",IF(OR($T791="",NOT(ISNUMBER($T791))),"Pending",IF(TODAY()&gt;$T791,"OVERDUE","Due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IF($Q792&lt;&gt;"Yes","",IF(COUNTIFS(nrES_PID,$D792,nrES_Code,$F792,nrES_Att,2)&gt;0,"Retested",IF(OR($T792="",NOT(ISNUMBER($T792))),"Pending",IF(TODAY()&gt;$T792,"OVERDUE","Due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IF($Q793&lt;&gt;"Yes","",IF(COUNTIFS(nrES_PID,$D793,nrES_Code,$F793,nrES_Att,2)&gt;0,"Retested",IF(OR($T793="",NOT(ISNUMBER($T793))),"Pending",IF(TODAY()&gt;$T793,"OVERDUE","Due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IF($Q794&lt;&gt;"Yes","",IF(COUNTIFS(nrES_PID,$D794,nrES_Code,$F794,nrES_Att,2)&gt;0,"Retested",IF(OR($T794="",NOT(ISNUMBER($T794))),"Pending",IF(TODAY()&gt;$T794,"OVERDUE","Due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IF($Q795&lt;&gt;"Yes","",IF(COUNTIFS(nrES_PID,$D795,nrES_Code,$F795,nrES_Att,2)&gt;0,"Retested",IF(OR($T795="",NOT(ISNUMBER($T795))),"Pending",IF(TODAY()&gt;$T795,"OVERDUE","Due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IF($Q796&lt;&gt;"Yes","",IF(COUNTIFS(nrES_PID,$D796,nrES_Code,$F796,nrES_Att,2)&gt;0,"Retested",IF(OR($T796="",NOT(ISNUMBER($T796))),"Pending",IF(TODAY()&gt;$T796,"OVERDUE","Due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IF($Q797&lt;&gt;"Yes","",IF(COUNTIFS(nrES_PID,$D797,nrES_Code,$F797,nrES_Att,2)&gt;0,"Retested",IF(OR($T797="",NOT(ISNUMBER($T797))),"Pending",IF(TODAY()&gt;$T797,"OVERDUE","Due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IF($Q798&lt;&gt;"Yes","",IF(COUNTIFS(nrES_PID,$D798,nrES_Code,$F798,nrES_Att,2)&gt;0,"Retested",IF(OR($T798="",NOT(ISNUMBER($T798))),"Pending",IF(TODAY()&gt;$T798,"OVERDUE","Due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IF($Q799&lt;&gt;"Yes","",IF(COUNTIFS(nrES_PID,$D799,nrES_Code,$F799,nrES_Att,2)&gt;0,"Retested",IF(OR($T799="",NOT(ISNUMBER($T799))),"Pending",IF(TODAY()&gt;$T799,"OVERDUE","Due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IF($Q800&lt;&gt;"Yes","",IF(COUNTIFS(nrES_PID,$D800,nrES_Code,$F800,nrES_Att,2)&gt;0,"Retested",IF(OR($T800="",NOT(ISNUMBER($T800))),"Pending",IF(TODAY()&gt;$T800,"OVERDUE","Due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IF($Q801&lt;&gt;"Yes","",IF(COUNTIFS(nrES_PID,$D801,nrES_Code,$F801,nrES_Att,2)&gt;0,"Retested",IF(OR($T801="",NOT(ISNUMBER($T801))),"Pending",IF(TODAY()&gt;$T801,"OVERDUE","Due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IF($Q802&lt;&gt;"Yes","",IF(COUNTIFS(nrES_PID,$D802,nrES_Code,$F802,nrES_Att,2)&gt;0,"Retested",IF(OR($T802="",NOT(ISNUMBER($T802))),"Pending",IF(TODAY()&gt;$T802,"OVERDUE","Due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IF($Q803&lt;&gt;"Yes","",IF(COUNTIFS(nrES_PID,$D803,nrES_Code,$F803,nrES_Att,2)&gt;0,"Retested",IF(OR($T803="",NOT(ISNUMBER($T803))),"Pending",IF(TODAY()&gt;$T803,"OVERDUE","Due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IF($Q804&lt;&gt;"Yes","",IF(COUNTIFS(nrES_PID,$D804,nrES_Code,$F804,nrES_Att,2)&gt;0,"Retested",IF(OR($T804="",NOT(ISNUMBER($T804))),"Pending",IF(TODAY()&gt;$T804,"OVERDUE","Due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IF($Q805&lt;&gt;"Yes","",IF(COUNTIFS(nrES_PID,$D805,nrES_Code,$F805,nrES_Att,2)&gt;0,"Retested",IF(OR($T805="",NOT(ISNUMBER($T805))),"Pending",IF(TODAY()&gt;$T805,"OVERDUE","Due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IF($Q806&lt;&gt;"Yes","",IF(COUNTIFS(nrES_PID,$D806,nrES_Code,$F806,nrES_Att,2)&gt;0,"Retested",IF(OR($T806="",NOT(ISNUMBER($T806))),"Pending",IF(TODAY()&gt;$T806,"OVERDUE","Due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IF($Q807&lt;&gt;"Yes","",IF(COUNTIFS(nrES_PID,$D807,nrES_Code,$F807,nrES_Att,2)&gt;0,"Retested",IF(OR($T807="",NOT(ISNUMBER($T807))),"Pending",IF(TODAY()&gt;$T807,"OVERDUE","Due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IF($Q808&lt;&gt;"Yes","",IF(COUNTIFS(nrES_PID,$D808,nrES_Code,$F808,nrES_Att,2)&gt;0,"Retested",IF(OR($T808="",NOT(ISNUMBER($T808))),"Pending",IF(TODAY()&gt;$T808,"OVERDUE","Due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IF($Q809&lt;&gt;"Yes","",IF(COUNTIFS(nrES_PID,$D809,nrES_Code,$F809,nrES_Att,2)&gt;0,"Retested",IF(OR($T809="",NOT(ISNUMBER($T809))),"Pending",IF(TODAY()&gt;$T809,"OVERDUE","Due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IF($Q810&lt;&gt;"Yes","",IF(COUNTIFS(nrES_PID,$D810,nrES_Code,$F810,nrES_Att,2)&gt;0,"Retested",IF(OR($T810="",NOT(ISNUMBER($T810))),"Pending",IF(TODAY()&gt;$T810,"OVERDUE","Due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IF($Q811&lt;&gt;"Yes","",IF(COUNTIFS(nrES_PID,$D811,nrES_Code,$F811,nrES_Att,2)&gt;0,"Retested",IF(OR($T811="",NOT(ISNUMBER($T811))),"Pending",IF(TODAY()&gt;$T811,"OVERDUE","Due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IF($Q812&lt;&gt;"Yes","",IF(COUNTIFS(nrES_PID,$D812,nrES_Code,$F812,nrES_Att,2)&gt;0,"Retested",IF(OR($T812="",NOT(ISNUMBER($T812))),"Pending",IF(TODAY()&gt;$T812,"OVERDUE","Due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IF($Q813&lt;&gt;"Yes","",IF(COUNTIFS(nrES_PID,$D813,nrES_Code,$F813,nrES_Att,2)&gt;0,"Retested",IF(OR($T813="",NOT(ISNUMBER($T813))),"Pending",IF(TODAY()&gt;$T813,"OVERDUE","Due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IF($Q814&lt;&gt;"Yes","",IF(COUNTIFS(nrES_PID,$D814,nrES_Code,$F814,nrES_Att,2)&gt;0,"Retested",IF(OR($T814="",NOT(ISNUMBER($T814))),"Pending",IF(TODAY()&gt;$T814,"OVERDUE","Due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IF($Q815&lt;&gt;"Yes","",IF(COUNTIFS(nrES_PID,$D815,nrES_Code,$F815,nrES_Att,2)&gt;0,"Retested",IF(OR($T815="",NOT(ISNUMBER($T815))),"Pending",IF(TODAY()&gt;$T815,"OVERDUE","Due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IF($Q816&lt;&gt;"Yes","",IF(COUNTIFS(nrES_PID,$D816,nrES_Code,$F816,nrES_Att,2)&gt;0,"Retested",IF(OR($T816="",NOT(ISNUMBER($T816))),"Pending",IF(TODAY()&gt;$T816,"OVERDUE","Due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IF($Q817&lt;&gt;"Yes","",IF(COUNTIFS(nrES_PID,$D817,nrES_Code,$F817,nrES_Att,2)&gt;0,"Retested",IF(OR($T817="",NOT(ISNUMBER($T817))),"Pending",IF(TODAY()&gt;$T817,"OVERDUE","Due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IF($Q818&lt;&gt;"Yes","",IF(COUNTIFS(nrES_PID,$D818,nrES_Code,$F818,nrES_Att,2)&gt;0,"Retested",IF(OR($T818="",NOT(ISNUMBER($T818))),"Pending",IF(TODAY()&gt;$T818,"OVERDUE","Due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IF($Q819&lt;&gt;"Yes","",IF(COUNTIFS(nrES_PID,$D819,nrES_Code,$F819,nrES_Att,2)&gt;0,"Retested",IF(OR($T819="",NOT(ISNUMBER($T819))),"Pending",IF(TODAY()&gt;$T819,"OVERDUE","Due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IF($Q820&lt;&gt;"Yes","",IF(COUNTIFS(nrES_PID,$D820,nrES_Code,$F820,nrES_Att,2)&gt;0,"Retested",IF(OR($T820="",NOT(ISNUMBER($T820))),"Pending",IF(TODAY()&gt;$T820,"OVERDUE","Due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IF($Q821&lt;&gt;"Yes","",IF(COUNTIFS(nrES_PID,$D821,nrES_Code,$F821,nrES_Att,2)&gt;0,"Retested",IF(OR($T821="",NOT(ISNUMBER($T821))),"Pending",IF(TODAY()&gt;$T821,"OVERDUE","Due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IF($Q822&lt;&gt;"Yes","",IF(COUNTIFS(nrES_PID,$D822,nrES_Code,$F822,nrES_Att,2)&gt;0,"Retested",IF(OR($T822="",NOT(ISNUMBER($T822))),"Pending",IF(TODAY()&gt;$T822,"OVERDUE","Due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IF($Q823&lt;&gt;"Yes","",IF(COUNTIFS(nrES_PID,$D823,nrES_Code,$F823,nrES_Att,2)&gt;0,"Retested",IF(OR($T823="",NOT(ISNUMBER($T823))),"Pending",IF(TODAY()&gt;$T823,"OVERDUE","Due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IF($Q824&lt;&gt;"Yes","",IF(COUNTIFS(nrES_PID,$D824,nrES_Code,$F824,nrES_Att,2)&gt;0,"Retested",IF(OR($T824="",NOT(ISNUMBER($T824))),"Pending",IF(TODAY()&gt;$T824,"OVERDUE","Due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IF($Q825&lt;&gt;"Yes","",IF(COUNTIFS(nrES_PID,$D825,nrES_Code,$F825,nrES_Att,2)&gt;0,"Retested",IF(OR($T825="",NOT(ISNUMBER($T825))),"Pending",IF(TODAY()&gt;$T825,"OVERDUE","Due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IF($Q826&lt;&gt;"Yes","",IF(COUNTIFS(nrES_PID,$D826,nrES_Code,$F826,nrES_Att,2)&gt;0,"Retested",IF(OR($T826="",NOT(ISNUMBER($T826))),"Pending",IF(TODAY()&gt;$T826,"OVERDUE","Due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IF($Q827&lt;&gt;"Yes","",IF(COUNTIFS(nrES_PID,$D827,nrES_Code,$F827,nrES_Att,2)&gt;0,"Retested",IF(OR($T827="",NOT(ISNUMBER($T827))),"Pending",IF(TODAY()&gt;$T827,"OVERDUE","Due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IF($Q828&lt;&gt;"Yes","",IF(COUNTIFS(nrES_PID,$D828,nrES_Code,$F828,nrES_Att,2)&gt;0,"Retested",IF(OR($T828="",NOT(ISNUMBER($T828))),"Pending",IF(TODAY()&gt;$T828,"OVERDUE","Due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IF($Q829&lt;&gt;"Yes","",IF(COUNTIFS(nrES_PID,$D829,nrES_Code,$F829,nrES_Att,2)&gt;0,"Retested",IF(OR($T829="",NOT(ISNUMBER($T829))),"Pending",IF(TODAY()&gt;$T829,"OVERDUE","Due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IF($Q830&lt;&gt;"Yes","",IF(COUNTIFS(nrES_PID,$D830,nrES_Code,$F830,nrES_Att,2)&gt;0,"Retested",IF(OR($T830="",NOT(ISNUMBER($T830))),"Pending",IF(TODAY()&gt;$T830,"OVERDUE","Due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IF($Q831&lt;&gt;"Yes","",IF(COUNTIFS(nrES_PID,$D831,nrES_Code,$F831,nrES_Att,2)&gt;0,"Retested",IF(OR($T831="",NOT(ISNUMBER($T831))),"Pending",IF(TODAY()&gt;$T831,"OVERDUE","Due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IF($Q832&lt;&gt;"Yes","",IF(COUNTIFS(nrES_PID,$D832,nrES_Code,$F832,nrES_Att,2)&gt;0,"Retested",IF(OR($T832="",NOT(ISNUMBER($T832))),"Pending",IF(TODAY()&gt;$T832,"OVERDUE","Due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IF($Q833&lt;&gt;"Yes","",IF(COUNTIFS(nrES_PID,$D833,nrES_Code,$F833,nrES_Att,2)&gt;0,"Retested",IF(OR($T833="",NOT(ISNUMBER($T833))),"Pending",IF(TODAY()&gt;$T833,"OVERDUE","Due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IF($Q834&lt;&gt;"Yes","",IF(COUNTIFS(nrES_PID,$D834,nrES_Code,$F834,nrES_Att,2)&gt;0,"Retested",IF(OR($T834="",NOT(ISNUMBER($T834))),"Pending",IF(TODAY()&gt;$T834,"OVERDUE","Due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IF($Q835&lt;&gt;"Yes","",IF(COUNTIFS(nrES_PID,$D835,nrES_Code,$F835,nrES_Att,2)&gt;0,"Retested",IF(OR($T835="",NOT(ISNUMBER($T835))),"Pending",IF(TODAY()&gt;$T835,"OVERDUE","Due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IF($Q836&lt;&gt;"Yes","",IF(COUNTIFS(nrES_PID,$D836,nrES_Code,$F836,nrES_Att,2)&gt;0,"Retested",IF(OR($T836="",NOT(ISNUMBER($T836))),"Pending",IF(TODAY()&gt;$T836,"OVERDUE","Due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IF($Q837&lt;&gt;"Yes","",IF(COUNTIFS(nrES_PID,$D837,nrES_Code,$F837,nrES_Att,2)&gt;0,"Retested",IF(OR($T837="",NOT(ISNUMBER($T837))),"Pending",IF(TODAY()&gt;$T837,"OVERDUE","Due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IF($Q838&lt;&gt;"Yes","",IF(COUNTIFS(nrES_PID,$D838,nrES_Code,$F838,nrES_Att,2)&gt;0,"Retested",IF(OR($T838="",NOT(ISNUMBER($T838))),"Pending",IF(TODAY()&gt;$T838,"OVERDUE","Due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IF($Q839&lt;&gt;"Yes","",IF(COUNTIFS(nrES_PID,$D839,nrES_Code,$F839,nrES_Att,2)&gt;0,"Retested",IF(OR($T839="",NOT(ISNUMBER($T839))),"Pending",IF(TODAY()&gt;$T839,"OVERDUE","Due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IF($Q840&lt;&gt;"Yes","",IF(COUNTIFS(nrES_PID,$D840,nrES_Code,$F840,nrES_Att,2)&gt;0,"Retested",IF(OR($T840="",NOT(ISNUMBER($T840))),"Pending",IF(TODAY()&gt;$T840,"OVERDUE","Due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IF($Q841&lt;&gt;"Yes","",IF(COUNTIFS(nrES_PID,$D841,nrES_Code,$F841,nrES_Att,2)&gt;0,"Retested",IF(OR($T841="",NOT(ISNUMBER($T841))),"Pending",IF(TODAY()&gt;$T841,"OVERDUE","Due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IF($Q842&lt;&gt;"Yes","",IF(COUNTIFS(nrES_PID,$D842,nrES_Code,$F842,nrES_Att,2)&gt;0,"Retested",IF(OR($T842="",NOT(ISNUMBER($T842))),"Pending",IF(TODAY()&gt;$T842,"OVERDUE","Due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IF($Q843&lt;&gt;"Yes","",IF(COUNTIFS(nrES_PID,$D843,nrES_Code,$F843,nrES_Att,2)&gt;0,"Retested",IF(OR($T843="",NOT(ISNUMBER($T843))),"Pending",IF(TODAY()&gt;$T843,"OVERDUE","Due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IF($Q844&lt;&gt;"Yes","",IF(COUNTIFS(nrES_PID,$D844,nrES_Code,$F844,nrES_Att,2)&gt;0,"Retested",IF(OR($T844="",NOT(ISNUMBER($T844))),"Pending",IF(TODAY()&gt;$T844,"OVERDUE","Due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IF($Q845&lt;&gt;"Yes","",IF(COUNTIFS(nrES_PID,$D845,nrES_Code,$F845,nrES_Att,2)&gt;0,"Retested",IF(OR($T845="",NOT(ISNUMBER($T845))),"Pending",IF(TODAY()&gt;$T845,"OVERDUE","Due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IF($Q846&lt;&gt;"Yes","",IF(COUNTIFS(nrES_PID,$D846,nrES_Code,$F846,nrES_Att,2)&gt;0,"Retested",IF(OR($T846="",NOT(ISNUMBER($T846))),"Pending",IF(TODAY()&gt;$T846,"OVERDUE","Due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IF($Q847&lt;&gt;"Yes","",IF(COUNTIFS(nrES_PID,$D847,nrES_Code,$F847,nrES_Att,2)&gt;0,"Retested",IF(OR($T847="",NOT(ISNUMBER($T847))),"Pending",IF(TODAY()&gt;$T847,"OVERDUE","Due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IF($Q848&lt;&gt;"Yes","",IF(COUNTIFS(nrES_PID,$D848,nrES_Code,$F848,nrES_Att,2)&gt;0,"Retested",IF(OR($T848="",NOT(ISNUMBER($T848))),"Pending",IF(TODAY()&gt;$T848,"OVERDUE","Due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IF($Q849&lt;&gt;"Yes","",IF(COUNTIFS(nrES_PID,$D849,nrES_Code,$F849,nrES_Att,2)&gt;0,"Retested",IF(OR($T849="",NOT(ISNUMBER($T849))),"Pending",IF(TODAY()&gt;$T849,"OVERDUE","Due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IF($Q850&lt;&gt;"Yes","",IF(COUNTIFS(nrES_PID,$D850,nrES_Code,$F850,nrES_Att,2)&gt;0,"Retested",IF(OR($T850="",NOT(ISNUMBER($T850))),"Pending",IF(TODAY()&gt;$T850,"OVERDUE","Due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IF($Q851&lt;&gt;"Yes","",IF(COUNTIFS(nrES_PID,$D851,nrES_Code,$F851,nrES_Att,2)&gt;0,"Retested",IF(OR($T851="",NOT(ISNUMBER($T851))),"Pending",IF(TODAY()&gt;$T851,"OVERDUE","Due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IF($Q852&lt;&gt;"Yes","",IF(COUNTIFS(nrES_PID,$D852,nrES_Code,$F852,nrES_Att,2)&gt;0,"Retested",IF(OR($T852="",NOT(ISNUMBER($T852))),"Pending",IF(TODAY()&gt;$T852,"OVERDUE","Due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IF($Q853&lt;&gt;"Yes","",IF(COUNTIFS(nrES_PID,$D853,nrES_Code,$F853,nrES_Att,2)&gt;0,"Retested",IF(OR($T853="",NOT(ISNUMBER($T853))),"Pending",IF(TODAY()&gt;$T853,"OVERDUE","Due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IF($Q854&lt;&gt;"Yes","",IF(COUNTIFS(nrES_PID,$D854,nrES_Code,$F854,nrES_Att,2)&gt;0,"Retested",IF(OR($T854="",NOT(ISNUMBER($T854))),"Pending",IF(TODAY()&gt;$T854,"OVERDUE","Due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IF($Q855&lt;&gt;"Yes","",IF(COUNTIFS(nrES_PID,$D855,nrES_Code,$F855,nrES_Att,2)&gt;0,"Retested",IF(OR($T855="",NOT(ISNUMBER($T855))),"Pending",IF(TODAY()&gt;$T855,"OVERDUE","Due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IF($Q856&lt;&gt;"Yes","",IF(COUNTIFS(nrES_PID,$D856,nrES_Code,$F856,nrES_Att,2)&gt;0,"Retested",IF(OR($T856="",NOT(ISNUMBER($T856))),"Pending",IF(TODAY()&gt;$T856,"OVERDUE","Due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IF($Q857&lt;&gt;"Yes","",IF(COUNTIFS(nrES_PID,$D857,nrES_Code,$F857,nrES_Att,2)&gt;0,"Retested",IF(OR($T857="",NOT(ISNUMBER($T857))),"Pending",IF(TODAY()&gt;$T857,"OVERDUE","Due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IF($Q858&lt;&gt;"Yes","",IF(COUNTIFS(nrES_PID,$D858,nrES_Code,$F858,nrES_Att,2)&gt;0,"Retested",IF(OR($T858="",NOT(ISNUMBER($T858))),"Pending",IF(TODAY()&gt;$T858,"OVERDUE","Due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IF($Q859&lt;&gt;"Yes","",IF(COUNTIFS(nrES_PID,$D859,nrES_Code,$F859,nrES_Att,2)&gt;0,"Retested",IF(OR($T859="",NOT(ISNUMBER($T859))),"Pending",IF(TODAY()&gt;$T859,"OVERDUE","Due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IF($Q860&lt;&gt;"Yes","",IF(COUNTIFS(nrES_PID,$D860,nrES_Code,$F860,nrES_Att,2)&gt;0,"Retested",IF(OR($T860="",NOT(ISNUMBER($T860))),"Pending",IF(TODAY()&gt;$T860,"OVERDUE","Due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IF($Q861&lt;&gt;"Yes","",IF(COUNTIFS(nrES_PID,$D861,nrES_Code,$F861,nrES_Att,2)&gt;0,"Retested",IF(OR($T861="",NOT(ISNUMBER($T861))),"Pending",IF(TODAY()&gt;$T861,"OVERDUE","Due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IF($Q862&lt;&gt;"Yes","",IF(COUNTIFS(nrES_PID,$D862,nrES_Code,$F862,nrES_Att,2)&gt;0,"Retested",IF(OR($T862="",NOT(ISNUMBER($T862))),"Pending",IF(TODAY()&gt;$T862,"OVERDUE","Due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IF($Q863&lt;&gt;"Yes","",IF(COUNTIFS(nrES_PID,$D863,nrES_Code,$F863,nrES_Att,2)&gt;0,"Retested",IF(OR($T863="",NOT(ISNUMBER($T863))),"Pending",IF(TODAY()&gt;$T863,"OVERDUE","Due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IF($Q864&lt;&gt;"Yes","",IF(COUNTIFS(nrES_PID,$D864,nrES_Code,$F864,nrES_Att,2)&gt;0,"Retested",IF(OR($T864="",NOT(ISNUMBER($T864))),"Pending",IF(TODAY()&gt;$T864,"OVERDUE","Due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IF($Q865&lt;&gt;"Yes","",IF(COUNTIFS(nrES_PID,$D865,nrES_Code,$F865,nrES_Att,2)&gt;0,"Retested",IF(OR($T865="",NOT(ISNUMBER($T865))),"Pending",IF(TODAY()&gt;$T865,"OVERDUE","Due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IF($Q866&lt;&gt;"Yes","",IF(COUNTIFS(nrES_PID,$D866,nrES_Code,$F866,nrES_Att,2)&gt;0,"Retested",IF(OR($T866="",NOT(ISNUMBER($T866))),"Pending",IF(TODAY()&gt;$T866,"OVERDUE","Due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IF($Q867&lt;&gt;"Yes","",IF(COUNTIFS(nrES_PID,$D867,nrES_Code,$F867,nrES_Att,2)&gt;0,"Retested",IF(OR($T867="",NOT(ISNUMBER($T867))),"Pending",IF(TODAY()&gt;$T867,"OVERDUE","Due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IF($Q868&lt;&gt;"Yes","",IF(COUNTIFS(nrES_PID,$D868,nrES_Code,$F868,nrES_Att,2)&gt;0,"Retested",IF(OR($T868="",NOT(ISNUMBER($T868))),"Pending",IF(TODAY()&gt;$T868,"OVERDUE","Due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IF($Q869&lt;&gt;"Yes","",IF(COUNTIFS(nrES_PID,$D869,nrES_Code,$F869,nrES_Att,2)&gt;0,"Retested",IF(OR($T869="",NOT(ISNUMBER($T869))),"Pending",IF(TODAY()&gt;$T869,"OVERDUE","Due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IF($Q870&lt;&gt;"Yes","",IF(COUNTIFS(nrES_PID,$D870,nrES_Code,$F870,nrES_Att,2)&gt;0,"Retested",IF(OR($T870="",NOT(ISNUMBER($T870))),"Pending",IF(TODAY()&gt;$T870,"OVERDUE","Due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IF($Q871&lt;&gt;"Yes","",IF(COUNTIFS(nrES_PID,$D871,nrES_Code,$F871,nrES_Att,2)&gt;0,"Retested",IF(OR($T871="",NOT(ISNUMBER($T871))),"Pending",IF(TODAY()&gt;$T871,"OVERDUE","Due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IF($Q872&lt;&gt;"Yes","",IF(COUNTIFS(nrES_PID,$D872,nrES_Code,$F872,nrES_Att,2)&gt;0,"Retested",IF(OR($T872="",NOT(ISNUMBER($T872))),"Pending",IF(TODAY()&gt;$T872,"OVERDUE","Due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IF($Q873&lt;&gt;"Yes","",IF(COUNTIFS(nrES_PID,$D873,nrES_Code,$F873,nrES_Att,2)&gt;0,"Retested",IF(OR($T873="",NOT(ISNUMBER($T873))),"Pending",IF(TODAY()&gt;$T873,"OVERDUE","Due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IF($Q874&lt;&gt;"Yes","",IF(COUNTIFS(nrES_PID,$D874,nrES_Code,$F874,nrES_Att,2)&gt;0,"Retested",IF(OR($T874="",NOT(ISNUMBER($T874))),"Pending",IF(TODAY()&gt;$T874,"OVERDUE","Due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IF($Q875&lt;&gt;"Yes","",IF(COUNTIFS(nrES_PID,$D875,nrES_Code,$F875,nrES_Att,2)&gt;0,"Retested",IF(OR($T875="",NOT(ISNUMBER($T875))),"Pending",IF(TODAY()&gt;$T875,"OVERDUE","Due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IF($Q876&lt;&gt;"Yes","",IF(COUNTIFS(nrES_PID,$D876,nrES_Code,$F876,nrES_Att,2)&gt;0,"Retested",IF(OR($T876="",NOT(ISNUMBER($T876))),"Pending",IF(TODAY()&gt;$T876,"OVERDUE","Due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IF($Q877&lt;&gt;"Yes","",IF(COUNTIFS(nrES_PID,$D877,nrES_Code,$F877,nrES_Att,2)&gt;0,"Retested",IF(OR($T877="",NOT(ISNUMBER($T877))),"Pending",IF(TODAY()&gt;$T877,"OVERDUE","Due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IF($Q878&lt;&gt;"Yes","",IF(COUNTIFS(nrES_PID,$D878,nrES_Code,$F878,nrES_Att,2)&gt;0,"Retested",IF(OR($T878="",NOT(ISNUMBER($T878))),"Pending",IF(TODAY()&gt;$T878,"OVERDUE","Due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IF($Q879&lt;&gt;"Yes","",IF(COUNTIFS(nrES_PID,$D879,nrES_Code,$F879,nrES_Att,2)&gt;0,"Retested",IF(OR($T879="",NOT(ISNUMBER($T879))),"Pending",IF(TODAY()&gt;$T879,"OVERDUE","Due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IF($Q880&lt;&gt;"Yes","",IF(COUNTIFS(nrES_PID,$D880,nrES_Code,$F880,nrES_Att,2)&gt;0,"Retested",IF(OR($T880="",NOT(ISNUMBER($T880))),"Pending",IF(TODAY()&gt;$T880,"OVERDUE","Due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IF($Q881&lt;&gt;"Yes","",IF(COUNTIFS(nrES_PID,$D881,nrES_Code,$F881,nrES_Att,2)&gt;0,"Retested",IF(OR($T881="",NOT(ISNUMBER($T881))),"Pending",IF(TODAY()&gt;$T881,"OVERDUE","Due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IF($Q882&lt;&gt;"Yes","",IF(COUNTIFS(nrES_PID,$D882,nrES_Code,$F882,nrES_Att,2)&gt;0,"Retested",IF(OR($T882="",NOT(ISNUMBER($T882))),"Pending",IF(TODAY()&gt;$T882,"OVERDUE","Due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IF($Q883&lt;&gt;"Yes","",IF(COUNTIFS(nrES_PID,$D883,nrES_Code,$F883,nrES_Att,2)&gt;0,"Retested",IF(OR($T883="",NOT(ISNUMBER($T883))),"Pending",IF(TODAY()&gt;$T883,"OVERDUE","Due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IF($Q884&lt;&gt;"Yes","",IF(COUNTIFS(nrES_PID,$D884,nrES_Code,$F884,nrES_Att,2)&gt;0,"Retested",IF(OR($T884="",NOT(ISNUMBER($T884))),"Pending",IF(TODAY()&gt;$T884,"OVERDUE","Due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IF($Q885&lt;&gt;"Yes","",IF(COUNTIFS(nrES_PID,$D885,nrES_Code,$F885,nrES_Att,2)&gt;0,"Retested",IF(OR($T885="",NOT(ISNUMBER($T885))),"Pending",IF(TODAY()&gt;$T885,"OVERDUE","Due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IF($Q886&lt;&gt;"Yes","",IF(COUNTIFS(nrES_PID,$D886,nrES_Code,$F886,nrES_Att,2)&gt;0,"Retested",IF(OR($T886="",NOT(ISNUMBER($T886))),"Pending",IF(TODAY()&gt;$T886,"OVERDUE","Due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IF($Q887&lt;&gt;"Yes","",IF(COUNTIFS(nrES_PID,$D887,nrES_Code,$F887,nrES_Att,2)&gt;0,"Retested",IF(OR($T887="",NOT(ISNUMBER($T887))),"Pending",IF(TODAY()&gt;$T887,"OVERDUE","Due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IF($Q888&lt;&gt;"Yes","",IF(COUNTIFS(nrES_PID,$D888,nrES_Code,$F888,nrES_Att,2)&gt;0,"Retested",IF(OR($T888="",NOT(ISNUMBER($T888))),"Pending",IF(TODAY()&gt;$T888,"OVERDUE","Due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IF($Q889&lt;&gt;"Yes","",IF(COUNTIFS(nrES_PID,$D889,nrES_Code,$F889,nrES_Att,2)&gt;0,"Retested",IF(OR($T889="",NOT(ISNUMBER($T889))),"Pending",IF(TODAY()&gt;$T889,"OVERDUE","Due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IF($Q890&lt;&gt;"Yes","",IF(COUNTIFS(nrES_PID,$D890,nrES_Code,$F890,nrES_Att,2)&gt;0,"Retested",IF(OR($T890="",NOT(ISNUMBER($T890))),"Pending",IF(TODAY()&gt;$T890,"OVERDUE","Due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IF($Q891&lt;&gt;"Yes","",IF(COUNTIFS(nrES_PID,$D891,nrES_Code,$F891,nrES_Att,2)&gt;0,"Retested",IF(OR($T891="",NOT(ISNUMBER($T891))),"Pending",IF(TODAY()&gt;$T891,"OVERDUE","Due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IF($Q892&lt;&gt;"Yes","",IF(COUNTIFS(nrES_PID,$D892,nrES_Code,$F892,nrES_Att,2)&gt;0,"Retested",IF(OR($T892="",NOT(ISNUMBER($T892))),"Pending",IF(TODAY()&gt;$T892,"OVERDUE","Due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IF($Q893&lt;&gt;"Yes","",IF(COUNTIFS(nrES_PID,$D893,nrES_Code,$F893,nrES_Att,2)&gt;0,"Retested",IF(OR($T893="",NOT(ISNUMBER($T893))),"Pending",IF(TODAY()&gt;$T893,"OVERDUE","Due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IF($Q894&lt;&gt;"Yes","",IF(COUNTIFS(nrES_PID,$D894,nrES_Code,$F894,nrES_Att,2)&gt;0,"Retested",IF(OR($T894="",NOT(ISNUMBER($T894))),"Pending",IF(TODAY()&gt;$T894,"OVERDUE","Due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IF($Q895&lt;&gt;"Yes","",IF(COUNTIFS(nrES_PID,$D895,nrES_Code,$F895,nrES_Att,2)&gt;0,"Retested",IF(OR($T895="",NOT(ISNUMBER($T895))),"Pending",IF(TODAY()&gt;$T895,"OVERDUE","Due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IF($Q896&lt;&gt;"Yes","",IF(COUNTIFS(nrES_PID,$D896,nrES_Code,$F896,nrES_Att,2)&gt;0,"Retested",IF(OR($T896="",NOT(ISNUMBER($T896))),"Pending",IF(TODAY()&gt;$T896,"OVERDUE","Due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IF($Q897&lt;&gt;"Yes","",IF(COUNTIFS(nrES_PID,$D897,nrES_Code,$F897,nrES_Att,2)&gt;0,"Retested",IF(OR($T897="",NOT(ISNUMBER($T897))),"Pending",IF(TODAY()&gt;$T897,"OVERDUE","Due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IF($Q898&lt;&gt;"Yes","",IF(COUNTIFS(nrES_PID,$D898,nrES_Code,$F898,nrES_Att,2)&gt;0,"Retested",IF(OR($T898="",NOT(ISNUMBER($T898))),"Pending",IF(TODAY()&gt;$T898,"OVERDUE","Due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IF($Q899&lt;&gt;"Yes","",IF(COUNTIFS(nrES_PID,$D899,nrES_Code,$F899,nrES_Att,2)&gt;0,"Retested",IF(OR($T899="",NOT(ISNUMBER($T899))),"Pending",IF(TODAY()&gt;$T899,"OVERDUE","Due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IF($Q900&lt;&gt;"Yes","",IF(COUNTIFS(nrES_PID,$D900,nrES_Code,$F900,nrES_Att,2)&gt;0,"Retested",IF(OR($T900="",NOT(ISNUMBER($T900))),"Pending",IF(TODAY()&gt;$T900,"OVERDUE","Due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IF($Q901&lt;&gt;"Yes","",IF(COUNTIFS(nrES_PID,$D901,nrES_Code,$F901,nrES_Att,2)&gt;0,"Retested",IF(OR($T901="",NOT(ISNUMBER($T901))),"Pending",IF(TODAY()&gt;$T901,"OVERDUE","Due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IF($Q902&lt;&gt;"Yes","",IF(COUNTIFS(nrES_PID,$D902,nrES_Code,$F902,nrES_Att,2)&gt;0,"Retested",IF(OR($T902="",NOT(ISNUMBER($T902))),"Pending",IF(TODAY()&gt;$T902,"OVERDUE","Due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IF($Q903&lt;&gt;"Yes","",IF(COUNTIFS(nrES_PID,$D903,nrES_Code,$F903,nrES_Att,2)&gt;0,"Retested",IF(OR($T903="",NOT(ISNUMBER($T903))),"Pending",IF(TODAY()&gt;$T903,"OVERDUE","Due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IF($Q904&lt;&gt;"Yes","",IF(COUNTIFS(nrES_PID,$D904,nrES_Code,$F904,nrES_Att,2)&gt;0,"Retested",IF(OR($T904="",NOT(ISNUMBER($T904))),"Pending",IF(TODAY()&gt;$T904,"OVERDUE","Due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IF($Q905&lt;&gt;"Yes","",IF(COUNTIFS(nrES_PID,$D905,nrES_Code,$F905,nrES_Att,2)&gt;0,"Retested",IF(OR($T905="",NOT(ISNUMBER($T905))),"Pending",IF(TODAY()&gt;$T905,"OVERDUE","Due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IF($Q906&lt;&gt;"Yes","",IF(COUNTIFS(nrES_PID,$D906,nrES_Code,$F906,nrES_Att,2)&gt;0,"Retested",IF(OR($T906="",NOT(ISNUMBER($T906))),"Pending",IF(TODAY()&gt;$T906,"OVERDUE","Due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IF($Q907&lt;&gt;"Yes","",IF(COUNTIFS(nrES_PID,$D907,nrES_Code,$F907,nrES_Att,2)&gt;0,"Retested",IF(OR($T907="",NOT(ISNUMBER($T907))),"Pending",IF(TODAY()&gt;$T907,"OVERDUE","Due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IF($Q908&lt;&gt;"Yes","",IF(COUNTIFS(nrES_PID,$D908,nrES_Code,$F908,nrES_Att,2)&gt;0,"Retested",IF(OR($T908="",NOT(ISNUMBER($T908))),"Pending",IF(TODAY()&gt;$T908,"OVERDUE","Due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IF($Q909&lt;&gt;"Yes","",IF(COUNTIFS(nrES_PID,$D909,nrES_Code,$F909,nrES_Att,2)&gt;0,"Retested",IF(OR($T909="",NOT(ISNUMBER($T909))),"Pending",IF(TODAY()&gt;$T909,"OVERDUE","Due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IF($Q910&lt;&gt;"Yes","",IF(COUNTIFS(nrES_PID,$D910,nrES_Code,$F910,nrES_Att,2)&gt;0,"Retested",IF(OR($T910="",NOT(ISNUMBER($T910))),"Pending",IF(TODAY()&gt;$T910,"OVERDUE","Due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IF($Q911&lt;&gt;"Yes","",IF(COUNTIFS(nrES_PID,$D911,nrES_Code,$F911,nrES_Att,2)&gt;0,"Retested",IF(OR($T911="",NOT(ISNUMBER($T911))),"Pending",IF(TODAY()&gt;$T911,"OVERDUE","Due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IF($Q912&lt;&gt;"Yes","",IF(COUNTIFS(nrES_PID,$D912,nrES_Code,$F912,nrES_Att,2)&gt;0,"Retested",IF(OR($T912="",NOT(ISNUMBER($T912))),"Pending",IF(TODAY()&gt;$T912,"OVERDUE","Due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IF($Q913&lt;&gt;"Yes","",IF(COUNTIFS(nrES_PID,$D913,nrES_Code,$F913,nrES_Att,2)&gt;0,"Retested",IF(OR($T913="",NOT(ISNUMBER($T913))),"Pending",IF(TODAY()&gt;$T913,"OVERDUE","Due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IF($Q914&lt;&gt;"Yes","",IF(COUNTIFS(nrES_PID,$D914,nrES_Code,$F914,nrES_Att,2)&gt;0,"Retested",IF(OR($T914="",NOT(ISNUMBER($T914))),"Pending",IF(TODAY()&gt;$T914,"OVERDUE","Due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IF($Q915&lt;&gt;"Yes","",IF(COUNTIFS(nrES_PID,$D915,nrES_Code,$F915,nrES_Att,2)&gt;0,"Retested",IF(OR($T915="",NOT(ISNUMBER($T915))),"Pending",IF(TODAY()&gt;$T915,"OVERDUE","Due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IF($Q916&lt;&gt;"Yes","",IF(COUNTIFS(nrES_PID,$D916,nrES_Code,$F916,nrES_Att,2)&gt;0,"Retested",IF(OR($T916="",NOT(ISNUMBER($T916))),"Pending",IF(TODAY()&gt;$T916,"OVERDUE","Due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IF($Q917&lt;&gt;"Yes","",IF(COUNTIFS(nrES_PID,$D917,nrES_Code,$F917,nrES_Att,2)&gt;0,"Retested",IF(OR($T917="",NOT(ISNUMBER($T917))),"Pending",IF(TODAY()&gt;$T917,"OVERDUE","Due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IF($Q918&lt;&gt;"Yes","",IF(COUNTIFS(nrES_PID,$D918,nrES_Code,$F918,nrES_Att,2)&gt;0,"Retested",IF(OR($T918="",NOT(ISNUMBER($T918))),"Pending",IF(TODAY()&gt;$T918,"OVERDUE","Due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IF($Q919&lt;&gt;"Yes","",IF(COUNTIFS(nrES_PID,$D919,nrES_Code,$F919,nrES_Att,2)&gt;0,"Retested",IF(OR($T919="",NOT(ISNUMBER($T919))),"Pending",IF(TODAY()&gt;$T919,"OVERDUE","Due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IF($Q920&lt;&gt;"Yes","",IF(COUNTIFS(nrES_PID,$D920,nrES_Code,$F920,nrES_Att,2)&gt;0,"Retested",IF(OR($T920="",NOT(ISNUMBER($T920))),"Pending",IF(TODAY()&gt;$T920,"OVERDUE","Due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IF($Q921&lt;&gt;"Yes","",IF(COUNTIFS(nrES_PID,$D921,nrES_Code,$F921,nrES_Att,2)&gt;0,"Retested",IF(OR($T921="",NOT(ISNUMBER($T921))),"Pending",IF(TODAY()&gt;$T921,"OVERDUE","Due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IF($Q922&lt;&gt;"Yes","",IF(COUNTIFS(nrES_PID,$D922,nrES_Code,$F922,nrES_Att,2)&gt;0,"Retested",IF(OR($T922="",NOT(ISNUMBER($T922))),"Pending",IF(TODAY()&gt;$T922,"OVERDUE","Due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IF($Q923&lt;&gt;"Yes","",IF(COUNTIFS(nrES_PID,$D923,nrES_Code,$F923,nrES_Att,2)&gt;0,"Retested",IF(OR($T923="",NOT(ISNUMBER($T923))),"Pending",IF(TODAY()&gt;$T923,"OVERDUE","Due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IF($Q924&lt;&gt;"Yes","",IF(COUNTIFS(nrES_PID,$D924,nrES_Code,$F924,nrES_Att,2)&gt;0,"Retested",IF(OR($T924="",NOT(ISNUMBER($T924))),"Pending",IF(TODAY()&gt;$T924,"OVERDUE","Due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IF($Q925&lt;&gt;"Yes","",IF(COUNTIFS(nrES_PID,$D925,nrES_Code,$F925,nrES_Att,2)&gt;0,"Retested",IF(OR($T925="",NOT(ISNUMBER($T925))),"Pending",IF(TODAY()&gt;$T925,"OVERDUE","Due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IF($Q926&lt;&gt;"Yes","",IF(COUNTIFS(nrES_PID,$D926,nrES_Code,$F926,nrES_Att,2)&gt;0,"Retested",IF(OR($T926="",NOT(ISNUMBER($T926))),"Pending",IF(TODAY()&gt;$T926,"OVERDUE","Due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IF($Q927&lt;&gt;"Yes","",IF(COUNTIFS(nrES_PID,$D927,nrES_Code,$F927,nrES_Att,2)&gt;0,"Retested",IF(OR($T927="",NOT(ISNUMBER($T927))),"Pending",IF(TODAY()&gt;$T927,"OVERDUE","Due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IF($Q928&lt;&gt;"Yes","",IF(COUNTIFS(nrES_PID,$D928,nrES_Code,$F928,nrES_Att,2)&gt;0,"Retested",IF(OR($T928="",NOT(ISNUMBER($T928))),"Pending",IF(TODAY()&gt;$T928,"OVERDUE","Due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IF($Q929&lt;&gt;"Yes","",IF(COUNTIFS(nrES_PID,$D929,nrES_Code,$F929,nrES_Att,2)&gt;0,"Retested",IF(OR($T929="",NOT(ISNUMBER($T929))),"Pending",IF(TODAY()&gt;$T929,"OVERDUE","Due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IF($Q930&lt;&gt;"Yes","",IF(COUNTIFS(nrES_PID,$D930,nrES_Code,$F930,nrES_Att,2)&gt;0,"Retested",IF(OR($T930="",NOT(ISNUMBER($T930))),"Pending",IF(TODAY()&gt;$T930,"OVERDUE","Due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IF($Q931&lt;&gt;"Yes","",IF(COUNTIFS(nrES_PID,$D931,nrES_Code,$F931,nrES_Att,2)&gt;0,"Retested",IF(OR($T931="",NOT(ISNUMBER($T931))),"Pending",IF(TODAY()&gt;$T931,"OVERDUE","Due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IF($Q932&lt;&gt;"Yes","",IF(COUNTIFS(nrES_PID,$D932,nrES_Code,$F932,nrES_Att,2)&gt;0,"Retested",IF(OR($T932="",NOT(ISNUMBER($T932))),"Pending",IF(TODAY()&gt;$T932,"OVERDUE","Due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IF($Q933&lt;&gt;"Yes","",IF(COUNTIFS(nrES_PID,$D933,nrES_Code,$F933,nrES_Att,2)&gt;0,"Retested",IF(OR($T933="",NOT(ISNUMBER($T933))),"Pending",IF(TODAY()&gt;$T933,"OVERDUE","Due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IF($Q934&lt;&gt;"Yes","",IF(COUNTIFS(nrES_PID,$D934,nrES_Code,$F934,nrES_Att,2)&gt;0,"Retested",IF(OR($T934="",NOT(ISNUMBER($T934))),"Pending",IF(TODAY()&gt;$T934,"OVERDUE","Due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IF($Q935&lt;&gt;"Yes","",IF(COUNTIFS(nrES_PID,$D935,nrES_Code,$F935,nrES_Att,2)&gt;0,"Retested",IF(OR($T935="",NOT(ISNUMBER($T935))),"Pending",IF(TODAY()&gt;$T935,"OVERDUE","Due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IF($Q936&lt;&gt;"Yes","",IF(COUNTIFS(nrES_PID,$D936,nrES_Code,$F936,nrES_Att,2)&gt;0,"Retested",IF(OR($T936="",NOT(ISNUMBER($T936))),"Pending",IF(TODAY()&gt;$T936,"OVERDUE","Due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IF($Q937&lt;&gt;"Yes","",IF(COUNTIFS(nrES_PID,$D937,nrES_Code,$F937,nrES_Att,2)&gt;0,"Retested",IF(OR($T937="",NOT(ISNUMBER($T937))),"Pending",IF(TODAY()&gt;$T937,"OVERDUE","Due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IF($Q938&lt;&gt;"Yes","",IF(COUNTIFS(nrES_PID,$D938,nrES_Code,$F938,nrES_Att,2)&gt;0,"Retested",IF(OR($T938="",NOT(ISNUMBER($T938))),"Pending",IF(TODAY()&gt;$T938,"OVERDUE","Due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IF($Q939&lt;&gt;"Yes","",IF(COUNTIFS(nrES_PID,$D939,nrES_Code,$F939,nrES_Att,2)&gt;0,"Retested",IF(OR($T939="",NOT(ISNUMBER($T939))),"Pending",IF(TODAY()&gt;$T939,"OVERDUE","Due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IF($Q940&lt;&gt;"Yes","",IF(COUNTIFS(nrES_PID,$D940,nrES_Code,$F940,nrES_Att,2)&gt;0,"Retested",IF(OR($T940="",NOT(ISNUMBER($T940))),"Pending",IF(TODAY()&gt;$T940,"OVERDUE","Due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IF($Q941&lt;&gt;"Yes","",IF(COUNTIFS(nrES_PID,$D941,nrES_Code,$F941,nrES_Att,2)&gt;0,"Retested",IF(OR($T941="",NOT(ISNUMBER($T941))),"Pending",IF(TODAY()&gt;$T941,"OVERDUE","Due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IF($Q942&lt;&gt;"Yes","",IF(COUNTIFS(nrES_PID,$D942,nrES_Code,$F942,nrES_Att,2)&gt;0,"Retested",IF(OR($T942="",NOT(ISNUMBER($T942))),"Pending",IF(TODAY()&gt;$T942,"OVERDUE","Due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IF($Q943&lt;&gt;"Yes","",IF(COUNTIFS(nrES_PID,$D943,nrES_Code,$F943,nrES_Att,2)&gt;0,"Retested",IF(OR($T943="",NOT(ISNUMBER($T943))),"Pending",IF(TODAY()&gt;$T943,"OVERDUE","Due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IF($Q944&lt;&gt;"Yes","",IF(COUNTIFS(nrES_PID,$D944,nrES_Code,$F944,nrES_Att,2)&gt;0,"Retested",IF(OR($T944="",NOT(ISNUMBER($T944))),"Pending",IF(TODAY()&gt;$T944,"OVERDUE","Due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IF($Q945&lt;&gt;"Yes","",IF(COUNTIFS(nrES_PID,$D945,nrES_Code,$F945,nrES_Att,2)&gt;0,"Retested",IF(OR($T945="",NOT(ISNUMBER($T945))),"Pending",IF(TODAY()&gt;$T945,"OVERDUE","Due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IF($Q946&lt;&gt;"Yes","",IF(COUNTIFS(nrES_PID,$D946,nrES_Code,$F946,nrES_Att,2)&gt;0,"Retested",IF(OR($T946="",NOT(ISNUMBER($T946))),"Pending",IF(TODAY()&gt;$T946,"OVERDUE","Due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IF($Q947&lt;&gt;"Yes","",IF(COUNTIFS(nrES_PID,$D947,nrES_Code,$F947,nrES_Att,2)&gt;0,"Retested",IF(OR($T947="",NOT(ISNUMBER($T947))),"Pending",IF(TODAY()&gt;$T947,"OVERDUE","Due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IF($Q948&lt;&gt;"Yes","",IF(COUNTIFS(nrES_PID,$D948,nrES_Code,$F948,nrES_Att,2)&gt;0,"Retested",IF(OR($T948="",NOT(ISNUMBER($T948))),"Pending",IF(TODAY()&gt;$T948,"OVERDUE","Due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IF($Q949&lt;&gt;"Yes","",IF(COUNTIFS(nrES_PID,$D949,nrES_Code,$F949,nrES_Att,2)&gt;0,"Retested",IF(OR($T949="",NOT(ISNUMBER($T949))),"Pending",IF(TODAY()&gt;$T949,"OVERDUE","Due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IF($Q950&lt;&gt;"Yes","",IF(COUNTIFS(nrES_PID,$D950,nrES_Code,$F950,nrES_Att,2)&gt;0,"Retested",IF(OR($T950="",NOT(ISNUMBER($T950))),"Pending",IF(TODAY()&gt;$T950,"OVERDUE","Due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IF($Q951&lt;&gt;"Yes","",IF(COUNTIFS(nrES_PID,$D951,nrES_Code,$F951,nrES_Att,2)&gt;0,"Retested",IF(OR($T951="",NOT(ISNUMBER($T951))),"Pending",IF(TODAY()&gt;$T951,"OVERDUE","Due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IF($Q952&lt;&gt;"Yes","",IF(COUNTIFS(nrES_PID,$D952,nrES_Code,$F952,nrES_Att,2)&gt;0,"Retested",IF(OR($T952="",NOT(ISNUMBER($T952))),"Pending",IF(TODAY()&gt;$T952,"OVERDUE","Due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IF($Q953&lt;&gt;"Yes","",IF(COUNTIFS(nrES_PID,$D953,nrES_Code,$F953,nrES_Att,2)&gt;0,"Retested",IF(OR($T953="",NOT(ISNUMBER($T953))),"Pending",IF(TODAY()&gt;$T953,"OVERDUE","Due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IF($Q954&lt;&gt;"Yes","",IF(COUNTIFS(nrES_PID,$D954,nrES_Code,$F954,nrES_Att,2)&gt;0,"Retested",IF(OR($T954="",NOT(ISNUMBER($T954))),"Pending",IF(TODAY()&gt;$T954,"OVERDUE","Due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IF($Q955&lt;&gt;"Yes","",IF(COUNTIFS(nrES_PID,$D955,nrES_Code,$F955,nrES_Att,2)&gt;0,"Retested",IF(OR($T955="",NOT(ISNUMBER($T955))),"Pending",IF(TODAY()&gt;$T955,"OVERDUE","Due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IF($Q956&lt;&gt;"Yes","",IF(COUNTIFS(nrES_PID,$D956,nrES_Code,$F956,nrES_Att,2)&gt;0,"Retested",IF(OR($T956="",NOT(ISNUMBER($T956))),"Pending",IF(TODAY()&gt;$T956,"OVERDUE","Due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IF($Q957&lt;&gt;"Yes","",IF(COUNTIFS(nrES_PID,$D957,nrES_Code,$F957,nrES_Att,2)&gt;0,"Retested",IF(OR($T957="",NOT(ISNUMBER($T957))),"Pending",IF(TODAY()&gt;$T957,"OVERDUE","Due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IF($Q958&lt;&gt;"Yes","",IF(COUNTIFS(nrES_PID,$D958,nrES_Code,$F958,nrES_Att,2)&gt;0,"Retested",IF(OR($T958="",NOT(ISNUMBER($T958))),"Pending",IF(TODAY()&gt;$T958,"OVERDUE","Due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IF($Q959&lt;&gt;"Yes","",IF(COUNTIFS(nrES_PID,$D959,nrES_Code,$F959,nrES_Att,2)&gt;0,"Retested",IF(OR($T959="",NOT(ISNUMBER($T959))),"Pending",IF(TODAY()&gt;$T959,"OVERDUE","Due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IF($Q960&lt;&gt;"Yes","",IF(COUNTIFS(nrES_PID,$D960,nrES_Code,$F960,nrES_Att,2)&gt;0,"Retested",IF(OR($T960="",NOT(ISNUMBER($T960))),"Pending",IF(TODAY()&gt;$T960,"OVERDUE","Due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IF($Q961&lt;&gt;"Yes","",IF(COUNTIFS(nrES_PID,$D961,nrES_Code,$F961,nrES_Att,2)&gt;0,"Retested",IF(OR($T961="",NOT(ISNUMBER($T961))),"Pending",IF(TODAY()&gt;$T961,"OVERDUE","Due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IF($Q962&lt;&gt;"Yes","",IF(COUNTIFS(nrES_PID,$D962,nrES_Code,$F962,nrES_Att,2)&gt;0,"Retested",IF(OR($T962="",NOT(ISNUMBER($T962))),"Pending",IF(TODAY()&gt;$T962,"OVERDUE","Due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IF($Q963&lt;&gt;"Yes","",IF(COUNTIFS(nrES_PID,$D963,nrES_Code,$F963,nrES_Att,2)&gt;0,"Retested",IF(OR($T963="",NOT(ISNUMBER($T963))),"Pending",IF(TODAY()&gt;$T963,"OVERDUE","Due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IF($Q964&lt;&gt;"Yes","",IF(COUNTIFS(nrES_PID,$D964,nrES_Code,$F964,nrES_Att,2)&gt;0,"Retested",IF(OR($T964="",NOT(ISNUMBER($T964))),"Pending",IF(TODAY()&gt;$T964,"OVERDUE","Due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IF($Q965&lt;&gt;"Yes","",IF(COUNTIFS(nrES_PID,$D965,nrES_Code,$F965,nrES_Att,2)&gt;0,"Retested",IF(OR($T965="",NOT(ISNUMBER($T965))),"Pending",IF(TODAY()&gt;$T965,"OVERDUE","Due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IF($Q966&lt;&gt;"Yes","",IF(COUNTIFS(nrES_PID,$D966,nrES_Code,$F966,nrES_Att,2)&gt;0,"Retested",IF(OR($T966="",NOT(ISNUMBER($T966))),"Pending",IF(TODAY()&gt;$T966,"OVERDUE","Due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IF($Q967&lt;&gt;"Yes","",IF(COUNTIFS(nrES_PID,$D967,nrES_Code,$F967,nrES_Att,2)&gt;0,"Retested",IF(OR($T967="",NOT(ISNUMBER($T967))),"Pending",IF(TODAY()&gt;$T967,"OVERDUE","Due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IF($Q968&lt;&gt;"Yes","",IF(COUNTIFS(nrES_PID,$D968,nrES_Code,$F968,nrES_Att,2)&gt;0,"Retested",IF(OR($T968="",NOT(ISNUMBER($T968))),"Pending",IF(TODAY()&gt;$T968,"OVERDUE","Due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IF($Q969&lt;&gt;"Yes","",IF(COUNTIFS(nrES_PID,$D969,nrES_Code,$F969,nrES_Att,2)&gt;0,"Retested",IF(OR($T969="",NOT(ISNUMBER($T969))),"Pending",IF(TODAY()&gt;$T969,"OVERDUE","Due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IF($Q970&lt;&gt;"Yes","",IF(COUNTIFS(nrES_PID,$D970,nrES_Code,$F970,nrES_Att,2)&gt;0,"Retested",IF(OR($T970="",NOT(ISNUMBER($T970))),"Pending",IF(TODAY()&gt;$T970,"OVERDUE","Due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IF($Q971&lt;&gt;"Yes","",IF(COUNTIFS(nrES_PID,$D971,nrES_Code,$F971,nrES_Att,2)&gt;0,"Retested",IF(OR($T971="",NOT(ISNUMBER($T971))),"Pending",IF(TODAY()&gt;$T971,"OVERDUE","Due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IF($Q972&lt;&gt;"Yes","",IF(COUNTIFS(nrES_PID,$D972,nrES_Code,$F972,nrES_Att,2)&gt;0,"Retested",IF(OR($T972="",NOT(ISNUMBER($T972))),"Pending",IF(TODAY()&gt;$T972,"OVERDUE","Due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IF($Q973&lt;&gt;"Yes","",IF(COUNTIFS(nrES_PID,$D973,nrES_Code,$F973,nrES_Att,2)&gt;0,"Retested",IF(OR($T973="",NOT(ISNUMBER($T973))),"Pending",IF(TODAY()&gt;$T973,"OVERDUE","Due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IF($Q974&lt;&gt;"Yes","",IF(COUNTIFS(nrES_PID,$D974,nrES_Code,$F974,nrES_Att,2)&gt;0,"Retested",IF(OR($T974="",NOT(ISNUMBER($T974))),"Pending",IF(TODAY()&gt;$T974,"OVERDUE","Due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IF($Q975&lt;&gt;"Yes","",IF(COUNTIFS(nrES_PID,$D975,nrES_Code,$F975,nrES_Att,2)&gt;0,"Retested",IF(OR($T975="",NOT(ISNUMBER($T975))),"Pending",IF(TODAY()&gt;$T975,"OVERDUE","Due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IF($Q976&lt;&gt;"Yes","",IF(COUNTIFS(nrES_PID,$D976,nrES_Code,$F976,nrES_Att,2)&gt;0,"Retested",IF(OR($T976="",NOT(ISNUMBER($T976))),"Pending",IF(TODAY()&gt;$T976,"OVERDUE","Due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IF($Q977&lt;&gt;"Yes","",IF(COUNTIFS(nrES_PID,$D977,nrES_Code,$F977,nrES_Att,2)&gt;0,"Retested",IF(OR($T977="",NOT(ISNUMBER($T977))),"Pending",IF(TODAY()&gt;$T977,"OVERDUE","Due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IF($Q978&lt;&gt;"Yes","",IF(COUNTIFS(nrES_PID,$D978,nrES_Code,$F978,nrES_Att,2)&gt;0,"Retested",IF(OR($T978="",NOT(ISNUMBER($T978))),"Pending",IF(TODAY()&gt;$T978,"OVERDUE","Due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IF($Q979&lt;&gt;"Yes","",IF(COUNTIFS(nrES_PID,$D979,nrES_Code,$F979,nrES_Att,2)&gt;0,"Retested",IF(OR($T979="",NOT(ISNUMBER($T979))),"Pending",IF(TODAY()&gt;$T979,"OVERDUE","Due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IF($Q980&lt;&gt;"Yes","",IF(COUNTIFS(nrES_PID,$D980,nrES_Code,$F980,nrES_Att,2)&gt;0,"Retested",IF(OR($T980="",NOT(ISNUMBER($T980))),"Pending",IF(TODAY()&gt;$T980,"OVERDUE","Due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IF($Q981&lt;&gt;"Yes","",IF(COUNTIFS(nrES_PID,$D981,nrES_Code,$F981,nrES_Att,2)&gt;0,"Retested",IF(OR($T981="",NOT(ISNUMBER($T981))),"Pending",IF(TODAY()&gt;$T981,"OVERDUE","Due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IF($Q982&lt;&gt;"Yes","",IF(COUNTIFS(nrES_PID,$D982,nrES_Code,$F982,nrES_Att,2)&gt;0,"Retested",IF(OR($T982="",NOT(ISNUMBER($T982))),"Pending",IF(TODAY()&gt;$T982,"OVERDUE","Due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IF($Q983&lt;&gt;"Yes","",IF(COUNTIFS(nrES_PID,$D983,nrES_Code,$F983,nrES_Att,2)&gt;0,"Retested",IF(OR($T983="",NOT(ISNUMBER($T983))),"Pending",IF(TODAY()&gt;$T983,"OVERDUE","Due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IF($Q984&lt;&gt;"Yes","",IF(COUNTIFS(nrES_PID,$D984,nrES_Code,$F984,nrES_Att,2)&gt;0,"Retested",IF(OR($T984="",NOT(ISNUMBER($T984))),"Pending",IF(TODAY()&gt;$T984,"OVERDUE","Due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IF($Q985&lt;&gt;"Yes","",IF(COUNTIFS(nrES_PID,$D985,nrES_Code,$F985,nrES_Att,2)&gt;0,"Retested",IF(OR($T985="",NOT(ISNUMBER($T985))),"Pending",IF(TODAY()&gt;$T985,"OVERDUE","Due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IF($Q986&lt;&gt;"Yes","",IF(COUNTIFS(nrES_PID,$D986,nrES_Code,$F986,nrES_Att,2)&gt;0,"Retested",IF(OR($T986="",NOT(ISNUMBER($T986))),"Pending",IF(TODAY()&gt;$T986,"OVERDUE","Due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IF($Q987&lt;&gt;"Yes","",IF(COUNTIFS(nrES_PID,$D987,nrES_Code,$F987,nrES_Att,2)&gt;0,"Retested",IF(OR($T987="",NOT(ISNUMBER($T987))),"Pending",IF(TODAY()&gt;$T987,"OVERDUE","Due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IF($Q988&lt;&gt;"Yes","",IF(COUNTIFS(nrES_PID,$D988,nrES_Code,$F988,nrES_Att,2)&gt;0,"Retested",IF(OR($T988="",NOT(ISNUMBER($T988))),"Pending",IF(TODAY()&gt;$T988,"OVERDUE","Due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IF($Q989&lt;&gt;"Yes","",IF(COUNTIFS(nrES_PID,$D989,nrES_Code,$F989,nrES_Att,2)&gt;0,"Retested",IF(OR($T989="",NOT(ISNUMBER($T989))),"Pending",IF(TODAY()&gt;$T989,"OVERDUE","Due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IF($Q990&lt;&gt;"Yes","",IF(COUNTIFS(nrES_PID,$D990,nrES_Code,$F990,nrES_Att,2)&gt;0,"Retested",IF(OR($T990="",NOT(ISNUMBER($T990))),"Pending",IF(TODAY()&gt;$T990,"OVERDUE","Due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IF($Q991&lt;&gt;"Yes","",IF(COUNTIFS(nrES_PID,$D991,nrES_Code,$F991,nrES_Att,2)&gt;0,"Retested",IF(OR($T991="",NOT(ISNUMBER($T991))),"Pending",IF(TODAY()&gt;$T991,"OVERDUE","Due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IF($Q992&lt;&gt;"Yes","",IF(COUNTIFS(nrES_PID,$D992,nrES_Code,$F992,nrES_Att,2)&gt;0,"Retested",IF(OR($T992="",NOT(ISNUMBER($T992))),"Pending",IF(TODAY()&gt;$T992,"OVERDUE","Due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IF($Q993&lt;&gt;"Yes","",IF(COUNTIFS(nrES_PID,$D993,nrES_Code,$F993,nrES_Att,2)&gt;0,"Retested",IF(OR($T993="",NOT(ISNUMBER($T993))),"Pending",IF(TODAY()&gt;$T993,"OVERDUE","Due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IF($Q994&lt;&gt;"Yes","",IF(COUNTIFS(nrES_PID,$D994,nrES_Code,$F994,nrES_Att,2)&gt;0,"Retested",IF(OR($T994="",NOT(ISNUMBER($T994))),"Pending",IF(TODAY()&gt;$T994,"OVERDUE","Due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IF($Q995&lt;&gt;"Yes","",IF(COUNTIFS(nrES_PID,$D995,nrES_Code,$F995,nrES_Att,2)&gt;0,"Retested",IF(OR($T995="",NOT(ISNUMBER($T995))),"Pending",IF(TODAY()&gt;$T995,"OVERDUE","Due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IF($Q996&lt;&gt;"Yes","",IF(COUNTIFS(nrES_PID,$D996,nrES_Code,$F996,nrES_Att,2)&gt;0,"Retested",IF(OR($T996="",NOT(ISNUMBER($T996))),"Pending",IF(TODAY()&gt;$T996,"OVERDUE","Due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IF($Q997&lt;&gt;"Yes","",IF(COUNTIFS(nrES_PID,$D997,nrES_Code,$F997,nrES_Att,2)&gt;0,"Retested",IF(OR($T997="",NOT(ISNUMBER($T997))),"Pending",IF(TODAY()&gt;$T997,"OVERDUE","Due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IF($Q998&lt;&gt;"Yes","",IF(COUNTIFS(nrES_PID,$D998,nrES_Code,$F998,nrES_Att,2)&gt;0,"Retested",IF(OR($T998="",NOT(ISNUMBER($T998))),"Pending",IF(TODAY()&gt;$T998,"OVERDUE","Due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IF($Q999&lt;&gt;"Yes","",IF(COUNTIFS(nrES_PID,$D999,nrES_Code,$F999,nrES_Att,2)&gt;0,"Retested",IF(OR($T999="",NOT(ISNUMBER($T999))),"Pending",IF(TODAY()&gt;$T999,"OVERDUE","Due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IF($Q1000&lt;&gt;"Yes","",IF(COUNTIFS(nrES_PID,$D1000,nrES_Code,$F1000,nrES_Att,2)&gt;0,"Retested",IF(OR($T1000="",NOT(ISNUMBER($T1000))),"Pending",IF(TODAY()&gt;$T1000,"OVERDUE","Due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IF($Q1001&lt;&gt;"Yes","",IF(COUNTIFS(nrES_PID,$D1001,nrES_Code,$F1001,nrES_Att,2)&gt;0,"Retested",IF(OR($T1001="",NOT(ISNUMBER($T1001))),"Pending",IF(TODAY()&gt;$T1001,"OVERDUE","Due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IF($Q1002&lt;&gt;"Yes","",IF(COUNTIFS(nrES_PID,$D1002,nrES_Code,$F1002,nrES_Att,2)&gt;0,"Retested",IF(OR($T1002="",NOT(ISNUMBER($T1002))),"Pending",IF(TODAY()&gt;$T1002,"OVERDUE","Due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IF($Q1003&lt;&gt;"Yes","",IF(COUNTIFS(nrES_PID,$D1003,nrES_Code,$F1003,nrES_Att,2)&gt;0,"Retested",IF(OR($T1003="",NOT(ISNUMBER($T1003))),"Pending",IF(TODAY()&gt;$T1003,"OVERDUE","Due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IF($Q1004&lt;&gt;"Yes","",IF(COUNTIFS(nrES_PID,$D1004,nrES_Code,$F1004,nrES_Att,2)&gt;0,"Retested",IF(OR($T1004="",NOT(ISNUMBER($T1004))),"Pending",IF(TODAY()&gt;$T1004,"OVERDUE","Due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IF($Q1005&lt;&gt;"Yes","",IF(COUNTIFS(nrES_PID,$D1005,nrES_Code,$F1005,nrES_Att,2)&gt;0,"Retested",IF(OR($T1005="",NOT(ISNUMBER($T1005))),"Pending",IF(TODAY()&gt;$T1005,"OVERDUE","Due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IF($Q1006&lt;&gt;"Yes","",IF(COUNTIFS(nrES_PID,$D1006,nrES_Code,$F1006,nrES_Att,2)&gt;0,"Retested",IF(OR($T1006="",NOT(ISNUMBER($T1006))),"Pending",IF(TODAY()&gt;$T1006,"OVERDUE","Due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IF($Q1007&lt;&gt;"Yes","",IF(COUNTIFS(nrES_PID,$D1007,nrES_Code,$F1007,nrES_Att,2)&gt;0,"Retested",IF(OR($T1007="",NOT(ISNUMBER($T1007))),"Pending",IF(TODAY()&gt;$T1007,"OVERDUE","Due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IF($Q1008&lt;&gt;"Yes","",IF(COUNTIFS(nrES_PID,$D1008,nrES_Code,$F1008,nrES_Att,2)&gt;0,"Retested",IF(OR($T1008="",NOT(ISNUMBER($T1008))),"Pending",IF(TODAY()&gt;$T1008,"OVERDUE","Due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IF($Q1009&lt;&gt;"Yes","",IF(COUNTIFS(nrES_PID,$D1009,nrES_Code,$F1009,nrES_Att,2)&gt;0,"Retested",IF(OR($T1009="",NOT(ISNUMBER($T1009))),"Pending",IF(TODAY()&gt;$T1009,"OVERDUE","Due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IF($Q1010&lt;&gt;"Yes","",IF(COUNTIFS(nrES_PID,$D1010,nrES_Code,$F1010,nrES_Att,2)&gt;0,"Retested",IF(OR($T1010="",NOT(ISNUMBER($T1010))),"Pending",IF(TODAY()&gt;$T1010,"OVERDUE","Due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IF($Q1011&lt;&gt;"Yes","",IF(COUNTIFS(nrES_PID,$D1011,nrES_Code,$F1011,nrES_Att,2)&gt;0,"Retested",IF(OR($T1011="",NOT(ISNUMBER($T1011))),"Pending",IF(TODAY()&gt;$T1011,"OVERDUE","Due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IF($Q1012&lt;&gt;"Yes","",IF(COUNTIFS(nrES_PID,$D1012,nrES_Code,$F1012,nrES_Att,2)&gt;0,"Retested",IF(OR($T1012="",NOT(ISNUMBER($T1012))),"Pending",IF(TODAY()&gt;$T1012,"OVERDUE","Due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IF($Q1013&lt;&gt;"Yes","",IF(COUNTIFS(nrES_PID,$D1013,nrES_Code,$F1013,nrES_Att,2)&gt;0,"Retested",IF(OR($T1013="",NOT(ISNUMBER($T1013))),"Pending",IF(TODAY()&gt;$T1013,"OVERDUE","Due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IF($Q1014&lt;&gt;"Yes","",IF(COUNTIFS(nrES_PID,$D1014,nrES_Code,$F1014,nrES_Att,2)&gt;0,"Retested",IF(OR($T1014="",NOT(ISNUMBER($T1014))),"Pending",IF(TODAY()&gt;$T1014,"OVERDUE","Due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IF($Q1015&lt;&gt;"Yes","",IF(COUNTIFS(nrES_PID,$D1015,nrES_Code,$F1015,nrES_Att,2)&gt;0,"Retested",IF(OR($T1015="",NOT(ISNUMBER($T1015))),"Pending",IF(TODAY()&gt;$T1015,"OVERDUE","Due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IF($Q1016&lt;&gt;"Yes","",IF(COUNTIFS(nrES_PID,$D1016,nrES_Code,$F1016,nrES_Att,2)&gt;0,"Retested",IF(OR($T1016="",NOT(ISNUMBER($T1016))),"Pending",IF(TODAY()&gt;$T1016,"OVERDUE","Due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IF($Q1017&lt;&gt;"Yes","",IF(COUNTIFS(nrES_PID,$D1017,nrES_Code,$F1017,nrES_Att,2)&gt;0,"Retested",IF(OR($T1017="",NOT(ISNUMBER($T1017))),"Pending",IF(TODAY()&gt;$T1017,"OVERDUE","Due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IF($Q1018&lt;&gt;"Yes","",IF(COUNTIFS(nrES_PID,$D1018,nrES_Code,$F1018,nrES_Att,2)&gt;0,"Retested",IF(OR($T1018="",NOT(ISNUMBER($T1018))),"Pending",IF(TODAY()&gt;$T1018,"OVERDUE","Due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IF($Q1019&lt;&gt;"Yes","",IF(COUNTIFS(nrES_PID,$D1019,nrES_Code,$F1019,nrES_Att,2)&gt;0,"Retested",IF(OR($T1019="",NOT(ISNUMBER($T1019))),"Pending",IF(TODAY()&gt;$T1019,"OVERDUE","Due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IF($Q1020&lt;&gt;"Yes","",IF(COUNTIFS(nrES_PID,$D1020,nrES_Code,$F1020,nrES_Att,2)&gt;0,"Retested",IF(OR($T1020="",NOT(ISNUMBER($T1020))),"Pending",IF(TODAY()&gt;$T1020,"OVERDUE","Due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IF($Q1021&lt;&gt;"Yes","",IF(COUNTIFS(nrES_PID,$D1021,nrES_Code,$F1021,nrES_Att,2)&gt;0,"Retested",IF(OR($T1021="",NOT(ISNUMBER($T1021))),"Pending",IF(TODAY()&gt;$T1021,"OVERDUE","Due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IF($Q1022&lt;&gt;"Yes","",IF(COUNTIFS(nrES_PID,$D1022,nrES_Code,$F1022,nrES_Att,2)&gt;0,"Retested",IF(OR($T1022="",NOT(ISNUMBER($T1022))),"Pending",IF(TODAY()&gt;$T1022,"OVERDUE","Due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IF($Q1023&lt;&gt;"Yes","",IF(COUNTIFS(nrES_PID,$D1023,nrES_Code,$F1023,nrES_Att,2)&gt;0,"Retested",IF(OR($T1023="",NOT(ISNUMBER($T1023))),"Pending",IF(TODAY()&gt;$T1023,"OVERDUE","Due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IF($Q1024&lt;&gt;"Yes","",IF(COUNTIFS(nrES_PID,$D1024,nrES_Code,$F1024,nrES_Att,2)&gt;0,"Retested",IF(OR($T1024="",NOT(ISNUMBER($T1024))),"Pending",IF(TODAY()&gt;$T1024,"OVERDUE","Due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IF($Q1025&lt;&gt;"Yes","",IF(COUNTIFS(nrES_PID,$D1025,nrES_Code,$F1025,nrES_Att,2)&gt;0,"Retested",IF(OR($T1025="",NOT(ISNUMBER($T1025))),"Pending",IF(TODAY()&gt;$T1025,"OVERDUE","Due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IF($Q1026&lt;&gt;"Yes","",IF(COUNTIFS(nrES_PID,$D1026,nrES_Code,$F1026,nrES_Att,2)&gt;0,"Retested",IF(OR($T1026="",NOT(ISNUMBER($T1026))),"Pending",IF(TODAY()&gt;$T1026,"OVERDUE","Due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IF($Q1027&lt;&gt;"Yes","",IF(COUNTIFS(nrES_PID,$D1027,nrES_Code,$F1027,nrES_Att,2)&gt;0,"Retested",IF(OR($T1027="",NOT(ISNUMBER($T1027))),"Pending",IF(TODAY()&gt;$T1027,"OVERDUE","Due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IF($Q1028&lt;&gt;"Yes","",IF(COUNTIFS(nrES_PID,$D1028,nrES_Code,$F1028,nrES_Att,2)&gt;0,"Retested",IF(OR($T1028="",NOT(ISNUMBER($T1028))),"Pending",IF(TODAY()&gt;$T1028,"OVERDUE","Due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IF($Q1029&lt;&gt;"Yes","",IF(COUNTIFS(nrES_PID,$D1029,nrES_Code,$F1029,nrES_Att,2)&gt;0,"Retested",IF(OR($T1029="",NOT(ISNUMBER($T1029))),"Pending",IF(TODAY()&gt;$T1029,"OVERDUE","Due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IF($Q1030&lt;&gt;"Yes","",IF(COUNTIFS(nrES_PID,$D1030,nrES_Code,$F1030,nrES_Att,2)&gt;0,"Retested",IF(OR($T1030="",NOT(ISNUMBER($T1030))),"Pending",IF(TODAY()&gt;$T1030,"OVERDUE","Due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IF($Q1031&lt;&gt;"Yes","",IF(COUNTIFS(nrES_PID,$D1031,nrES_Code,$F1031,nrES_Att,2)&gt;0,"Retested",IF(OR($T1031="",NOT(ISNUMBER($T1031))),"Pending",IF(TODAY()&gt;$T1031,"OVERDUE","Due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IF($Q1032&lt;&gt;"Yes","",IF(COUNTIFS(nrES_PID,$D1032,nrES_Code,$F1032,nrES_Att,2)&gt;0,"Retested",IF(OR($T1032="",NOT(ISNUMBER($T1032))),"Pending",IF(TODAY()&gt;$T1032,"OVERDUE","Due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IF($Q1033&lt;&gt;"Yes","",IF(COUNTIFS(nrES_PID,$D1033,nrES_Code,$F1033,nrES_Att,2)&gt;0,"Retested",IF(OR($T1033="",NOT(ISNUMBER($T1033))),"Pending",IF(TODAY()&gt;$T1033,"OVERDUE","Due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IF($Q1034&lt;&gt;"Yes","",IF(COUNTIFS(nrES_PID,$D1034,nrES_Code,$F1034,nrES_Att,2)&gt;0,"Retested",IF(OR($T1034="",NOT(ISNUMBER($T1034))),"Pending",IF(TODAY()&gt;$T1034,"OVERDUE","Due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IF($Q1035&lt;&gt;"Yes","",IF(COUNTIFS(nrES_PID,$D1035,nrES_Code,$F1035,nrES_Att,2)&gt;0,"Retested",IF(OR($T1035="",NOT(ISNUMBER($T1035))),"Pending",IF(TODAY()&gt;$T1035,"OVERDUE","Due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IF($Q1036&lt;&gt;"Yes","",IF(COUNTIFS(nrES_PID,$D1036,nrES_Code,$F1036,nrES_Att,2)&gt;0,"Retested",IF(OR($T1036="",NOT(ISNUMBER($T1036))),"Pending",IF(TODAY()&gt;$T1036,"OVERDUE","Due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IF($Q1037&lt;&gt;"Yes","",IF(COUNTIFS(nrES_PID,$D1037,nrES_Code,$F1037,nrES_Att,2)&gt;0,"Retested",IF(OR($T1037="",NOT(ISNUMBER($T1037))),"Pending",IF(TODAY()&gt;$T1037,"OVERDUE","Due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IF($Q1038&lt;&gt;"Yes","",IF(COUNTIFS(nrES_PID,$D1038,nrES_Code,$F1038,nrES_Att,2)&gt;0,"Retested",IF(OR($T1038="",NOT(ISNUMBER($T1038))),"Pending",IF(TODAY()&gt;$T1038,"OVERDUE","Due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IF($Q1039&lt;&gt;"Yes","",IF(COUNTIFS(nrES_PID,$D1039,nrES_Code,$F1039,nrES_Att,2)&gt;0,"Retested",IF(OR($T1039="",NOT(ISNUMBER($T1039))),"Pending",IF(TODAY()&gt;$T1039,"OVERDUE","Due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IF($Q1040&lt;&gt;"Yes","",IF(COUNTIFS(nrES_PID,$D1040,nrES_Code,$F1040,nrES_Att,2)&gt;0,"Retested",IF(OR($T1040="",NOT(ISNUMBER($T1040))),"Pending",IF(TODAY()&gt;$T1040,"OVERDUE","Due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IF($Q1041&lt;&gt;"Yes","",IF(COUNTIFS(nrES_PID,$D1041,nrES_Code,$F1041,nrES_Att,2)&gt;0,"Retested",IF(OR($T1041="",NOT(ISNUMBER($T1041))),"Pending",IF(TODAY()&gt;$T1041,"OVERDUE","Due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IF($Q1042&lt;&gt;"Yes","",IF(COUNTIFS(nrES_PID,$D1042,nrES_Code,$F1042,nrES_Att,2)&gt;0,"Retested",IF(OR($T1042="",NOT(ISNUMBER($T1042))),"Pending",IF(TODAY()&gt;$T1042,"OVERDUE","Due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IF($Q1043&lt;&gt;"Yes","",IF(COUNTIFS(nrES_PID,$D1043,nrES_Code,$F1043,nrES_Att,2)&gt;0,"Retested",IF(OR($T1043="",NOT(ISNUMBER($T1043))),"Pending",IF(TODAY()&gt;$T1043,"OVERDUE","Due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IF($Q1044&lt;&gt;"Yes","",IF(COUNTIFS(nrES_PID,$D1044,nrES_Code,$F1044,nrES_Att,2)&gt;0,"Retested",IF(OR($T1044="",NOT(ISNUMBER($T1044))),"Pending",IF(TODAY()&gt;$T1044,"OVERDUE","Due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IF($Q1045&lt;&gt;"Yes","",IF(COUNTIFS(nrES_PID,$D1045,nrES_Code,$F1045,nrES_Att,2)&gt;0,"Retested",IF(OR($T1045="",NOT(ISNUMBER($T1045))),"Pending",IF(TODAY()&gt;$T1045,"OVERDUE","Due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IF($Q1046&lt;&gt;"Yes","",IF(COUNTIFS(nrES_PID,$D1046,nrES_Code,$F1046,nrES_Att,2)&gt;0,"Retested",IF(OR($T1046="",NOT(ISNUMBER($T1046))),"Pending",IF(TODAY()&gt;$T1046,"OVERDUE","Due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IF($Q1047&lt;&gt;"Yes","",IF(COUNTIFS(nrES_PID,$D1047,nrES_Code,$F1047,nrES_Att,2)&gt;0,"Retested",IF(OR($T1047="",NOT(ISNUMBER($T1047))),"Pending",IF(TODAY()&gt;$T1047,"OVERDUE","Due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IF($Q1048&lt;&gt;"Yes","",IF(COUNTIFS(nrES_PID,$D1048,nrES_Code,$F1048,nrES_Att,2)&gt;0,"Retested",IF(OR($T1048="",NOT(ISNUMBER($T1048))),"Pending",IF(TODAY()&gt;$T1048,"OVERDUE","Due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IF($Q1049&lt;&gt;"Yes","",IF(COUNTIFS(nrES_PID,$D1049,nrES_Code,$F1049,nrES_Att,2)&gt;0,"Retested",IF(OR($T1049="",NOT(ISNUMBER($T1049))),"Pending",IF(TODAY()&gt;$T1049,"OVERDUE","Due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IF($Q1050&lt;&gt;"Yes","",IF(COUNTIFS(nrES_PID,$D1050,nrES_Code,$F1050,nrES_Att,2)&gt;0,"Retested",IF(OR($T1050="",NOT(ISNUMBER($T1050))),"Pending",IF(TODAY()&gt;$T1050,"OVERDUE","Due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IF($Q1051&lt;&gt;"Yes","",IF(COUNTIFS(nrES_PID,$D1051,nrES_Code,$F1051,nrES_Att,2)&gt;0,"Retested",IF(OR($T1051="",NOT(ISNUMBER($T1051))),"Pending",IF(TODAY()&gt;$T1051,"OVERDUE","Due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IF($Q1052&lt;&gt;"Yes","",IF(COUNTIFS(nrES_PID,$D1052,nrES_Code,$F1052,nrES_Att,2)&gt;0,"Retested",IF(OR($T1052="",NOT(ISNUMBER($T1052))),"Pending",IF(TODAY()&gt;$T1052,"OVERDUE","Due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IF($Q1053&lt;&gt;"Yes","",IF(COUNTIFS(nrES_PID,$D1053,nrES_Code,$F1053,nrES_Att,2)&gt;0,"Retested",IF(OR($T1053="",NOT(ISNUMBER($T1053))),"Pending",IF(TODAY()&gt;$T1053,"OVERDUE","Due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IF($Q1054&lt;&gt;"Yes","",IF(COUNTIFS(nrES_PID,$D1054,nrES_Code,$F1054,nrES_Att,2)&gt;0,"Retested",IF(OR($T1054="",NOT(ISNUMBER($T1054))),"Pending",IF(TODAY()&gt;$T1054,"OVERDUE","Due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IF($Q1055&lt;&gt;"Yes","",IF(COUNTIFS(nrES_PID,$D1055,nrES_Code,$F1055,nrES_Att,2)&gt;0,"Retested",IF(OR($T1055="",NOT(ISNUMBER($T1055))),"Pending",IF(TODAY()&gt;$T1055,"OVERDUE","Due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IF($Q1056&lt;&gt;"Yes","",IF(COUNTIFS(nrES_PID,$D1056,nrES_Code,$F1056,nrES_Att,2)&gt;0,"Retested",IF(OR($T1056="",NOT(ISNUMBER($T1056))),"Pending",IF(TODAY()&gt;$T1056,"OVERDUE","Due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IF($Q1057&lt;&gt;"Yes","",IF(COUNTIFS(nrES_PID,$D1057,nrES_Code,$F1057,nrES_Att,2)&gt;0,"Retested",IF(OR($T1057="",NOT(ISNUMBER($T1057))),"Pending",IF(TODAY()&gt;$T1057,"OVERDUE","Due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IF($Q1058&lt;&gt;"Yes","",IF(COUNTIFS(nrES_PID,$D1058,nrES_Code,$F1058,nrES_Att,2)&gt;0,"Retested",IF(OR($T1058="",NOT(ISNUMBER($T1058))),"Pending",IF(TODAY()&gt;$T1058,"OVERDUE","Due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IF($Q1059&lt;&gt;"Yes","",IF(COUNTIFS(nrES_PID,$D1059,nrES_Code,$F1059,nrES_Att,2)&gt;0,"Retested",IF(OR($T1059="",NOT(ISNUMBER($T1059))),"Pending",IF(TODAY()&gt;$T1059,"OVERDUE","Due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IF($Q1060&lt;&gt;"Yes","",IF(COUNTIFS(nrES_PID,$D1060,nrES_Code,$F1060,nrES_Att,2)&gt;0,"Retested",IF(OR($T1060="",NOT(ISNUMBER($T1060))),"Pending",IF(TODAY()&gt;$T1060,"OVERDUE","Due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IF($Q1061&lt;&gt;"Yes","",IF(COUNTIFS(nrES_PID,$D1061,nrES_Code,$F1061,nrES_Att,2)&gt;0,"Retested",IF(OR($T1061="",NOT(ISNUMBER($T1061))),"Pending",IF(TODAY()&gt;$T1061,"OVERDUE","Due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IF($Q1062&lt;&gt;"Yes","",IF(COUNTIFS(nrES_PID,$D1062,nrES_Code,$F1062,nrES_Att,2)&gt;0,"Retested",IF(OR($T1062="",NOT(ISNUMBER($T1062))),"Pending",IF(TODAY()&gt;$T1062,"OVERDUE","Due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IF($Q1063&lt;&gt;"Yes","",IF(COUNTIFS(nrES_PID,$D1063,nrES_Code,$F1063,nrES_Att,2)&gt;0,"Retested",IF(OR($T1063="",NOT(ISNUMBER($T1063))),"Pending",IF(TODAY()&gt;$T1063,"OVERDUE","Due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IF($Q1064&lt;&gt;"Yes","",IF(COUNTIFS(nrES_PID,$D1064,nrES_Code,$F1064,nrES_Att,2)&gt;0,"Retested",IF(OR($T1064="",NOT(ISNUMBER($T1064))),"Pending",IF(TODAY()&gt;$T1064,"OVERDUE","Due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IF($Q1065&lt;&gt;"Yes","",IF(COUNTIFS(nrES_PID,$D1065,nrES_Code,$F1065,nrES_Att,2)&gt;0,"Retested",IF(OR($T1065="",NOT(ISNUMBER($T1065))),"Pending",IF(TODAY()&gt;$T1065,"OVERDUE","Due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IF($Q1066&lt;&gt;"Yes","",IF(COUNTIFS(nrES_PID,$D1066,nrES_Code,$F1066,nrES_Att,2)&gt;0,"Retested",IF(OR($T1066="",NOT(ISNUMBER($T1066))),"Pending",IF(TODAY()&gt;$T1066,"OVERDUE","Due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IF($Q1067&lt;&gt;"Yes","",IF(COUNTIFS(nrES_PID,$D1067,nrES_Code,$F1067,nrES_Att,2)&gt;0,"Retested",IF(OR($T1067="",NOT(ISNUMBER($T1067))),"Pending",IF(TODAY()&gt;$T1067,"OVERDUE","Due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IF($Q1068&lt;&gt;"Yes","",IF(COUNTIFS(nrES_PID,$D1068,nrES_Code,$F1068,nrES_Att,2)&gt;0,"Retested",IF(OR($T1068="",NOT(ISNUMBER($T1068))),"Pending",IF(TODAY()&gt;$T1068,"OVERDUE","Due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IF($Q1069&lt;&gt;"Yes","",IF(COUNTIFS(nrES_PID,$D1069,nrES_Code,$F1069,nrES_Att,2)&gt;0,"Retested",IF(OR($T1069="",NOT(ISNUMBER($T1069))),"Pending",IF(TODAY()&gt;$T1069,"OVERDUE","Due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IF($Q1070&lt;&gt;"Yes","",IF(COUNTIFS(nrES_PID,$D1070,nrES_Code,$F1070,nrES_Att,2)&gt;0,"Retested",IF(OR($T1070="",NOT(ISNUMBER($T1070))),"Pending",IF(TODAY()&gt;$T1070,"OVERDUE","Due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IF($Q1071&lt;&gt;"Yes","",IF(COUNTIFS(nrES_PID,$D1071,nrES_Code,$F1071,nrES_Att,2)&gt;0,"Retested",IF(OR($T1071="",NOT(ISNUMBER($T1071))),"Pending",IF(TODAY()&gt;$T1071,"OVERDUE","Due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IF($Q1072&lt;&gt;"Yes","",IF(COUNTIFS(nrES_PID,$D1072,nrES_Code,$F1072,nrES_Att,2)&gt;0,"Retested",IF(OR($T1072="",NOT(ISNUMBER($T1072))),"Pending",IF(TODAY()&gt;$T1072,"OVERDUE","Due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IF($Q1073&lt;&gt;"Yes","",IF(COUNTIFS(nrES_PID,$D1073,nrES_Code,$F1073,nrES_Att,2)&gt;0,"Retested",IF(OR($T1073="",NOT(ISNUMBER($T1073))),"Pending",IF(TODAY()&gt;$T1073,"OVERDUE","Due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IF($Q1074&lt;&gt;"Yes","",IF(COUNTIFS(nrES_PID,$D1074,nrES_Code,$F1074,nrES_Att,2)&gt;0,"Retested",IF(OR($T1074="",NOT(ISNUMBER($T1074))),"Pending",IF(TODAY()&gt;$T1074,"OVERDUE","Due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IF($Q1075&lt;&gt;"Yes","",IF(COUNTIFS(nrES_PID,$D1075,nrES_Code,$F1075,nrES_Att,2)&gt;0,"Retested",IF(OR($T1075="",NOT(ISNUMBER($T1075))),"Pending",IF(TODAY()&gt;$T1075,"OVERDUE","Due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IF($Q1076&lt;&gt;"Yes","",IF(COUNTIFS(nrES_PID,$D1076,nrES_Code,$F1076,nrES_Att,2)&gt;0,"Retested",IF(OR($T1076="",NOT(ISNUMBER($T1076))),"Pending",IF(TODAY()&gt;$T1076,"OVERDUE","Due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IF($Q1077&lt;&gt;"Yes","",IF(COUNTIFS(nrES_PID,$D1077,nrES_Code,$F1077,nrES_Att,2)&gt;0,"Retested",IF(OR($T1077="",NOT(ISNUMBER($T1077))),"Pending",IF(TODAY()&gt;$T1077,"OVERDUE","Due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IF($Q1078&lt;&gt;"Yes","",IF(COUNTIFS(nrES_PID,$D1078,nrES_Code,$F1078,nrES_Att,2)&gt;0,"Retested",IF(OR($T1078="",NOT(ISNUMBER($T1078))),"Pending",IF(TODAY()&gt;$T1078,"OVERDUE","Due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IF($Q1079&lt;&gt;"Yes","",IF(COUNTIFS(nrES_PID,$D1079,nrES_Code,$F1079,nrES_Att,2)&gt;0,"Retested",IF(OR($T1079="",NOT(ISNUMBER($T1079))),"Pending",IF(TODAY()&gt;$T1079,"OVERDUE","Due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IF($Q1080&lt;&gt;"Yes","",IF(COUNTIFS(nrES_PID,$D1080,nrES_Code,$F1080,nrES_Att,2)&gt;0,"Retested",IF(OR($T1080="",NOT(ISNUMBER($T1080))),"Pending",IF(TODAY()&gt;$T1080,"OVERDUE","Due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IF($Q1081&lt;&gt;"Yes","",IF(COUNTIFS(nrES_PID,$D1081,nrES_Code,$F1081,nrES_Att,2)&gt;0,"Retested",IF(OR($T1081="",NOT(ISNUMBER($T1081))),"Pending",IF(TODAY()&gt;$T1081,"OVERDUE","Due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IF($Q1082&lt;&gt;"Yes","",IF(COUNTIFS(nrES_PID,$D1082,nrES_Code,$F1082,nrES_Att,2)&gt;0,"Retested",IF(OR($T1082="",NOT(ISNUMBER($T1082))),"Pending",IF(TODAY()&gt;$T1082,"OVERDUE","Due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IF($Q1083&lt;&gt;"Yes","",IF(COUNTIFS(nrES_PID,$D1083,nrES_Code,$F1083,nrES_Att,2)&gt;0,"Retested",IF(OR($T1083="",NOT(ISNUMBER($T1083))),"Pending",IF(TODAY()&gt;$T1083,"OVERDUE","Due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IF($Q1084&lt;&gt;"Yes","",IF(COUNTIFS(nrES_PID,$D1084,nrES_Code,$F1084,nrES_Att,2)&gt;0,"Retested",IF(OR($T1084="",NOT(ISNUMBER($T1084))),"Pending",IF(TODAY()&gt;$T1084,"OVERDUE","Due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IF($Q1085&lt;&gt;"Yes","",IF(COUNTIFS(nrES_PID,$D1085,nrES_Code,$F1085,nrES_Att,2)&gt;0,"Retested",IF(OR($T1085="",NOT(ISNUMBER($T1085))),"Pending",IF(TODAY()&gt;$T1085,"OVERDUE","Due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IF($Q1086&lt;&gt;"Yes","",IF(COUNTIFS(nrES_PID,$D1086,nrES_Code,$F1086,nrES_Att,2)&gt;0,"Retested",IF(OR($T1086="",NOT(ISNUMBER($T1086))),"Pending",IF(TODAY()&gt;$T1086,"OVERDUE","Due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IF($Q1087&lt;&gt;"Yes","",IF(COUNTIFS(nrES_PID,$D1087,nrES_Code,$F1087,nrES_Att,2)&gt;0,"Retested",IF(OR($T1087="",NOT(ISNUMBER($T1087))),"Pending",IF(TODAY()&gt;$T1087,"OVERDUE","Due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IF($Q1088&lt;&gt;"Yes","",IF(COUNTIFS(nrES_PID,$D1088,nrES_Code,$F1088,nrES_Att,2)&gt;0,"Retested",IF(OR($T1088="",NOT(ISNUMBER($T1088))),"Pending",IF(TODAY()&gt;$T1088,"OVERDUE","Due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IF($Q1089&lt;&gt;"Yes","",IF(COUNTIFS(nrES_PID,$D1089,nrES_Code,$F1089,nrES_Att,2)&gt;0,"Retested",IF(OR($T1089="",NOT(ISNUMBER($T1089))),"Pending",IF(TODAY()&gt;$T1089,"OVERDUE","Due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IF($Q1090&lt;&gt;"Yes","",IF(COUNTIFS(nrES_PID,$D1090,nrES_Code,$F1090,nrES_Att,2)&gt;0,"Retested",IF(OR($T1090="",NOT(ISNUMBER($T1090))),"Pending",IF(TODAY()&gt;$T1090,"OVERDUE","Due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IF($Q1091&lt;&gt;"Yes","",IF(COUNTIFS(nrES_PID,$D1091,nrES_Code,$F1091,nrES_Att,2)&gt;0,"Retested",IF(OR($T1091="",NOT(ISNUMBER($T1091))),"Pending",IF(TODAY()&gt;$T1091,"OVERDUE","Due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IF($Q1092&lt;&gt;"Yes","",IF(COUNTIFS(nrES_PID,$D1092,nrES_Code,$F1092,nrES_Att,2)&gt;0,"Retested",IF(OR($T1092="",NOT(ISNUMBER($T1092))),"Pending",IF(TODAY()&gt;$T1092,"OVERDUE","Due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IF($Q1093&lt;&gt;"Yes","",IF(COUNTIFS(nrES_PID,$D1093,nrES_Code,$F1093,nrES_Att,2)&gt;0,"Retested",IF(OR($T1093="",NOT(ISNUMBER($T1093))),"Pending",IF(TODAY()&gt;$T1093,"OVERDUE","Due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IF($Q1094&lt;&gt;"Yes","",IF(COUNTIFS(nrES_PID,$D1094,nrES_Code,$F1094,nrES_Att,2)&gt;0,"Retested",IF(OR($T1094="",NOT(ISNUMBER($T1094))),"Pending",IF(TODAY()&gt;$T1094,"OVERDUE","Due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IF($Q1095&lt;&gt;"Yes","",IF(COUNTIFS(nrES_PID,$D1095,nrES_Code,$F1095,nrES_Att,2)&gt;0,"Retested",IF(OR($T1095="",NOT(ISNUMBER($T1095))),"Pending",IF(TODAY()&gt;$T1095,"OVERDUE","Due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IF($Q1096&lt;&gt;"Yes","",IF(COUNTIFS(nrES_PID,$D1096,nrES_Code,$F1096,nrES_Att,2)&gt;0,"Retested",IF(OR($T1096="",NOT(ISNUMBER($T1096))),"Pending",IF(TODAY()&gt;$T1096,"OVERDUE","Due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IF($Q1097&lt;&gt;"Yes","",IF(COUNTIFS(nrES_PID,$D1097,nrES_Code,$F1097,nrES_Att,2)&gt;0,"Retested",IF(OR($T1097="",NOT(ISNUMBER($T1097))),"Pending",IF(TODAY()&gt;$T1097,"OVERDUE","Due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IF($Q1098&lt;&gt;"Yes","",IF(COUNTIFS(nrES_PID,$D1098,nrES_Code,$F1098,nrES_Att,2)&gt;0,"Retested",IF(OR($T1098="",NOT(ISNUMBER($T1098))),"Pending",IF(TODAY()&gt;$T1098,"OVERDUE","Due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IF($Q1099&lt;&gt;"Yes","",IF(COUNTIFS(nrES_PID,$D1099,nrES_Code,$F1099,nrES_Att,2)&gt;0,"Retested",IF(OR($T1099="",NOT(ISNUMBER($T1099))),"Pending",IF(TODAY()&gt;$T1099,"OVERDUE","Due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IF($Q1100&lt;&gt;"Yes","",IF(COUNTIFS(nrES_PID,$D1100,nrES_Code,$F1100,nrES_Att,2)&gt;0,"Retested",IF(OR($T1100="",NOT(ISNUMBER($T1100))),"Pending",IF(TODAY()&gt;$T1100,"OVERDUE","Due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IF($Q1101&lt;&gt;"Yes","",IF(COUNTIFS(nrES_PID,$D1101,nrES_Code,$F1101,nrES_Att,2)&gt;0,"Retested",IF(OR($T1101="",NOT(ISNUMBER($T1101))),"Pending",IF(TODAY()&gt;$T1101,"OVERDUE","Due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IF($Q1102&lt;&gt;"Yes","",IF(COUNTIFS(nrES_PID,$D1102,nrES_Code,$F1102,nrES_Att,2)&gt;0,"Retested",IF(OR($T1102="",NOT(ISNUMBER($T1102))),"Pending",IF(TODAY()&gt;$T1102,"OVERDUE","Due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IF($Q1103&lt;&gt;"Yes","",IF(COUNTIFS(nrES_PID,$D1103,nrES_Code,$F1103,nrES_Att,2)&gt;0,"Retested",IF(OR($T1103="",NOT(ISNUMBER($T1103))),"Pending",IF(TODAY()&gt;$T1103,"OVERDUE","Due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IF($Q1104&lt;&gt;"Yes","",IF(COUNTIFS(nrES_PID,$D1104,nrES_Code,$F1104,nrES_Att,2)&gt;0,"Retested",IF(OR($T1104="",NOT(ISNUMBER($T1104))),"Pending",IF(TODAY()&gt;$T1104,"OVERDUE","Due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IF($Q1105&lt;&gt;"Yes","",IF(COUNTIFS(nrES_PID,$D1105,nrES_Code,$F1105,nrES_Att,2)&gt;0,"Retested",IF(OR($T1105="",NOT(ISNUMBER($T1105))),"Pending",IF(TODAY()&gt;$T1105,"OVERDUE","Due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IF($Q1106&lt;&gt;"Yes","",IF(COUNTIFS(nrES_PID,$D1106,nrES_Code,$F1106,nrES_Att,2)&gt;0,"Retested",IF(OR($T1106="",NOT(ISNUMBER($T1106))),"Pending",IF(TODAY()&gt;$T1106,"OVERDUE","Due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IF($Q1107&lt;&gt;"Yes","",IF(COUNTIFS(nrES_PID,$D1107,nrES_Code,$F1107,nrES_Att,2)&gt;0,"Retested",IF(OR($T1107="",NOT(ISNUMBER($T1107))),"Pending",IF(TODAY()&gt;$T1107,"OVERDUE","Due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IF($Q1108&lt;&gt;"Yes","",IF(COUNTIFS(nrES_PID,$D1108,nrES_Code,$F1108,nrES_Att,2)&gt;0,"Retested",IF(OR($T1108="",NOT(ISNUMBER($T1108))),"Pending",IF(TODAY()&gt;$T1108,"OVERDUE","Due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IF($Q1109&lt;&gt;"Yes","",IF(COUNTIFS(nrES_PID,$D1109,nrES_Code,$F1109,nrES_Att,2)&gt;0,"Retested",IF(OR($T1109="",NOT(ISNUMBER($T1109))),"Pending",IF(TODAY()&gt;$T1109,"OVERDUE","Due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IF($Q1110&lt;&gt;"Yes","",IF(COUNTIFS(nrES_PID,$D1110,nrES_Code,$F1110,nrES_Att,2)&gt;0,"Retested",IF(OR($T1110="",NOT(ISNUMBER($T1110))),"Pending",IF(TODAY()&gt;$T1110,"OVERDUE","Due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IF($Q1111&lt;&gt;"Yes","",IF(COUNTIFS(nrES_PID,$D1111,nrES_Code,$F1111,nrES_Att,2)&gt;0,"Retested",IF(OR($T1111="",NOT(ISNUMBER($T1111))),"Pending",IF(TODAY()&gt;$T1111,"OVERDUE","Due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IF($Q1112&lt;&gt;"Yes","",IF(COUNTIFS(nrES_PID,$D1112,nrES_Code,$F1112,nrES_Att,2)&gt;0,"Retested",IF(OR($T1112="",NOT(ISNUMBER($T1112))),"Pending",IF(TODAY()&gt;$T1112,"OVERDUE","Due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IF($Q1113&lt;&gt;"Yes","",IF(COUNTIFS(nrES_PID,$D1113,nrES_Code,$F1113,nrES_Att,2)&gt;0,"Retested",IF(OR($T1113="",NOT(ISNUMBER($T1113))),"Pending",IF(TODAY()&gt;$T1113,"OVERDUE","Due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IF($Q1114&lt;&gt;"Yes","",IF(COUNTIFS(nrES_PID,$D1114,nrES_Code,$F1114,nrES_Att,2)&gt;0,"Retested",IF(OR($T1114="",NOT(ISNUMBER($T1114))),"Pending",IF(TODAY()&gt;$T1114,"OVERDUE","Due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IF($Q1115&lt;&gt;"Yes","",IF(COUNTIFS(nrES_PID,$D1115,nrES_Code,$F1115,nrES_Att,2)&gt;0,"Retested",IF(OR($T1115="",NOT(ISNUMBER($T1115))),"Pending",IF(TODAY()&gt;$T1115,"OVERDUE","Due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IF($Q1116&lt;&gt;"Yes","",IF(COUNTIFS(nrES_PID,$D1116,nrES_Code,$F1116,nrES_Att,2)&gt;0,"Retested",IF(OR($T1116="",NOT(ISNUMBER($T1116))),"Pending",IF(TODAY()&gt;$T1116,"OVERDUE","Due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IF($Q1117&lt;&gt;"Yes","",IF(COUNTIFS(nrES_PID,$D1117,nrES_Code,$F1117,nrES_Att,2)&gt;0,"Retested",IF(OR($T1117="",NOT(ISNUMBER($T1117))),"Pending",IF(TODAY()&gt;$T1117,"OVERDUE","Due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IF($Q1118&lt;&gt;"Yes","",IF(COUNTIFS(nrES_PID,$D1118,nrES_Code,$F1118,nrES_Att,2)&gt;0,"Retested",IF(OR($T1118="",NOT(ISNUMBER($T1118))),"Pending",IF(TODAY()&gt;$T1118,"OVERDUE","Due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IF($Q1119&lt;&gt;"Yes","",IF(COUNTIFS(nrES_PID,$D1119,nrES_Code,$F1119,nrES_Att,2)&gt;0,"Retested",IF(OR($T1119="",NOT(ISNUMBER($T1119))),"Pending",IF(TODAY()&gt;$T1119,"OVERDUE","Due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IF($Q1120&lt;&gt;"Yes","",IF(COUNTIFS(nrES_PID,$D1120,nrES_Code,$F1120,nrES_Att,2)&gt;0,"Retested",IF(OR($T1120="",NOT(ISNUMBER($T1120))),"Pending",IF(TODAY()&gt;$T1120,"OVERDUE","Due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IF($Q1121&lt;&gt;"Yes","",IF(COUNTIFS(nrES_PID,$D1121,nrES_Code,$F1121,nrES_Att,2)&gt;0,"Retested",IF(OR($T1121="",NOT(ISNUMBER($T1121))),"Pending",IF(TODAY()&gt;$T1121,"OVERDUE","Due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IF($Q1122&lt;&gt;"Yes","",IF(COUNTIFS(nrES_PID,$D1122,nrES_Code,$F1122,nrES_Att,2)&gt;0,"Retested",IF(OR($T1122="",NOT(ISNUMBER($T1122))),"Pending",IF(TODAY()&gt;$T1122,"OVERDUE","Due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IF($Q1123&lt;&gt;"Yes","",IF(COUNTIFS(nrES_PID,$D1123,nrES_Code,$F1123,nrES_Att,2)&gt;0,"Retested",IF(OR($T1123="",NOT(ISNUMBER($T1123))),"Pending",IF(TODAY()&gt;$T1123,"OVERDUE","Due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IF($Q1124&lt;&gt;"Yes","",IF(COUNTIFS(nrES_PID,$D1124,nrES_Code,$F1124,nrES_Att,2)&gt;0,"Retested",IF(OR($T1124="",NOT(ISNUMBER($T1124))),"Pending",IF(TODAY()&gt;$T1124,"OVERDUE","Due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IF($Q1125&lt;&gt;"Yes","",IF(COUNTIFS(nrES_PID,$D1125,nrES_Code,$F1125,nrES_Att,2)&gt;0,"Retested",IF(OR($T1125="",NOT(ISNUMBER($T1125))),"Pending",IF(TODAY()&gt;$T1125,"OVERDUE","Due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IF($Q1126&lt;&gt;"Yes","",IF(COUNTIFS(nrES_PID,$D1126,nrES_Code,$F1126,nrES_Att,2)&gt;0,"Retested",IF(OR($T1126="",NOT(ISNUMBER($T1126))),"Pending",IF(TODAY()&gt;$T1126,"OVERDUE","Due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IF($Q1127&lt;&gt;"Yes","",IF(COUNTIFS(nrES_PID,$D1127,nrES_Code,$F1127,nrES_Att,2)&gt;0,"Retested",IF(OR($T1127="",NOT(ISNUMBER($T1127))),"Pending",IF(TODAY()&gt;$T1127,"OVERDUE","Due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IF($Q1128&lt;&gt;"Yes","",IF(COUNTIFS(nrES_PID,$D1128,nrES_Code,$F1128,nrES_Att,2)&gt;0,"Retested",IF(OR($T1128="",NOT(ISNUMBER($T1128))),"Pending",IF(TODAY()&gt;$T1128,"OVERDUE","Due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IF($Q1129&lt;&gt;"Yes","",IF(COUNTIFS(nrES_PID,$D1129,nrES_Code,$F1129,nrES_Att,2)&gt;0,"Retested",IF(OR($T1129="",NOT(ISNUMBER($T1129))),"Pending",IF(TODAY()&gt;$T1129,"OVERDUE","Due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IF($Q1130&lt;&gt;"Yes","",IF(COUNTIFS(nrES_PID,$D1130,nrES_Code,$F1130,nrES_Att,2)&gt;0,"Retested",IF(OR($T1130="",NOT(ISNUMBER($T1130))),"Pending",IF(TODAY()&gt;$T1130,"OVERDUE","Due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IF($Q1131&lt;&gt;"Yes","",IF(COUNTIFS(nrES_PID,$D1131,nrES_Code,$F1131,nrES_Att,2)&gt;0,"Retested",IF(OR($T1131="",NOT(ISNUMBER($T1131))),"Pending",IF(TODAY()&gt;$T1131,"OVERDUE","Due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IF($Q1132&lt;&gt;"Yes","",IF(COUNTIFS(nrES_PID,$D1132,nrES_Code,$F1132,nrES_Att,2)&gt;0,"Retested",IF(OR($T1132="",NOT(ISNUMBER($T1132))),"Pending",IF(TODAY()&gt;$T1132,"OVERDUE","Due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IF($Q1133&lt;&gt;"Yes","",IF(COUNTIFS(nrES_PID,$D1133,nrES_Code,$F1133,nrES_Att,2)&gt;0,"Retested",IF(OR($T1133="",NOT(ISNUMBER($T1133))),"Pending",IF(TODAY()&gt;$T1133,"OVERDUE","Due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IF($Q1134&lt;&gt;"Yes","",IF(COUNTIFS(nrES_PID,$D1134,nrES_Code,$F1134,nrES_Att,2)&gt;0,"Retested",IF(OR($T1134="",NOT(ISNUMBER($T1134))),"Pending",IF(TODAY()&gt;$T1134,"OVERDUE","Due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IF($Q1135&lt;&gt;"Yes","",IF(COUNTIFS(nrES_PID,$D1135,nrES_Code,$F1135,nrES_Att,2)&gt;0,"Retested",IF(OR($T1135="",NOT(ISNUMBER($T1135))),"Pending",IF(TODAY()&gt;$T1135,"OVERDUE","Due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IF($Q1136&lt;&gt;"Yes","",IF(COUNTIFS(nrES_PID,$D1136,nrES_Code,$F1136,nrES_Att,2)&gt;0,"Retested",IF(OR($T1136="",NOT(ISNUMBER($T1136))),"Pending",IF(TODAY()&gt;$T1136,"OVERDUE","Due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IF($Q1137&lt;&gt;"Yes","",IF(COUNTIFS(nrES_PID,$D1137,nrES_Code,$F1137,nrES_Att,2)&gt;0,"Retested",IF(OR($T1137="",NOT(ISNUMBER($T1137))),"Pending",IF(TODAY()&gt;$T1137,"OVERDUE","Due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IF($Q1138&lt;&gt;"Yes","",IF(COUNTIFS(nrES_PID,$D1138,nrES_Code,$F1138,nrES_Att,2)&gt;0,"Retested",IF(OR($T1138="",NOT(ISNUMBER($T1138))),"Pending",IF(TODAY()&gt;$T1138,"OVERDUE","Due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IF($Q1139&lt;&gt;"Yes","",IF(COUNTIFS(nrES_PID,$D1139,nrES_Code,$F1139,nrES_Att,2)&gt;0,"Retested",IF(OR($T1139="",NOT(ISNUMBER($T1139))),"Pending",IF(TODAY()&gt;$T1139,"OVERDUE","Due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IF($Q1140&lt;&gt;"Yes","",IF(COUNTIFS(nrES_PID,$D1140,nrES_Code,$F1140,nrES_Att,2)&gt;0,"Retested",IF(OR($T1140="",NOT(ISNUMBER($T1140))),"Pending",IF(TODAY()&gt;$T1140,"OVERDUE","Due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IF($Q1141&lt;&gt;"Yes","",IF(COUNTIFS(nrES_PID,$D1141,nrES_Code,$F1141,nrES_Att,2)&gt;0,"Retested",IF(OR($T1141="",NOT(ISNUMBER($T1141))),"Pending",IF(TODAY()&gt;$T1141,"OVERDUE","Due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IF($Q1142&lt;&gt;"Yes","",IF(COUNTIFS(nrES_PID,$D1142,nrES_Code,$F1142,nrES_Att,2)&gt;0,"Retested",IF(OR($T1142="",NOT(ISNUMBER($T1142))),"Pending",IF(TODAY()&gt;$T1142,"OVERDUE","Due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IF($Q1143&lt;&gt;"Yes","",IF(COUNTIFS(nrES_PID,$D1143,nrES_Code,$F1143,nrES_Att,2)&gt;0,"Retested",IF(OR($T1143="",NOT(ISNUMBER($T1143))),"Pending",IF(TODAY()&gt;$T1143,"OVERDUE","Due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IF($Q1144&lt;&gt;"Yes","",IF(COUNTIFS(nrES_PID,$D1144,nrES_Code,$F1144,nrES_Att,2)&gt;0,"Retested",IF(OR($T1144="",NOT(ISNUMBER($T1144))),"Pending",IF(TODAY()&gt;$T1144,"OVERDUE","Due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IF($Q1145&lt;&gt;"Yes","",IF(COUNTIFS(nrES_PID,$D1145,nrES_Code,$F1145,nrES_Att,2)&gt;0,"Retested",IF(OR($T1145="",NOT(ISNUMBER($T1145))),"Pending",IF(TODAY()&gt;$T1145,"OVERDUE","Due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IF($Q1146&lt;&gt;"Yes","",IF(COUNTIFS(nrES_PID,$D1146,nrES_Code,$F1146,nrES_Att,2)&gt;0,"Retested",IF(OR($T1146="",NOT(ISNUMBER($T1146))),"Pending",IF(TODAY()&gt;$T1146,"OVERDUE","Due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IF($Q1147&lt;&gt;"Yes","",IF(COUNTIFS(nrES_PID,$D1147,nrES_Code,$F1147,nrES_Att,2)&gt;0,"Retested",IF(OR($T1147="",NOT(ISNUMBER($T1147))),"Pending",IF(TODAY()&gt;$T1147,"OVERDUE","Due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IF($Q1148&lt;&gt;"Yes","",IF(COUNTIFS(nrES_PID,$D1148,nrES_Code,$F1148,nrES_Att,2)&gt;0,"Retested",IF(OR($T1148="",NOT(ISNUMBER($T1148))),"Pending",IF(TODAY()&gt;$T1148,"OVERDUE","Due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IF($Q1149&lt;&gt;"Yes","",IF(COUNTIFS(nrES_PID,$D1149,nrES_Code,$F1149,nrES_Att,2)&gt;0,"Retested",IF(OR($T1149="",NOT(ISNUMBER($T1149))),"Pending",IF(TODAY()&gt;$T1149,"OVERDUE","Due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IF($Q1150&lt;&gt;"Yes","",IF(COUNTIFS(nrES_PID,$D1150,nrES_Code,$F1150,nrES_Att,2)&gt;0,"Retested",IF(OR($T1150="",NOT(ISNUMBER($T1150))),"Pending",IF(TODAY()&gt;$T1150,"OVERDUE","Due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IF($Q1151&lt;&gt;"Yes","",IF(COUNTIFS(nrES_PID,$D1151,nrES_Code,$F1151,nrES_Att,2)&gt;0,"Retested",IF(OR($T1151="",NOT(ISNUMBER($T1151))),"Pending",IF(TODAY()&gt;$T1151,"OVERDUE","Due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IF($Q1152&lt;&gt;"Yes","",IF(COUNTIFS(nrES_PID,$D1152,nrES_Code,$F1152,nrES_Att,2)&gt;0,"Retested",IF(OR($T1152="",NOT(ISNUMBER($T1152))),"Pending",IF(TODAY()&gt;$T1152,"OVERDUE","Due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IF($Q1153&lt;&gt;"Yes","",IF(COUNTIFS(nrES_PID,$D1153,nrES_Code,$F1153,nrES_Att,2)&gt;0,"Retested",IF(OR($T1153="",NOT(ISNUMBER($T1153))),"Pending",IF(TODAY()&gt;$T1153,"OVERDUE","Due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IF($Q1154&lt;&gt;"Yes","",IF(COUNTIFS(nrES_PID,$D1154,nrES_Code,$F1154,nrES_Att,2)&gt;0,"Retested",IF(OR($T1154="",NOT(ISNUMBER($T1154))),"Pending",IF(TODAY()&gt;$T1154,"OVERDUE","Due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IF($Q1155&lt;&gt;"Yes","",IF(COUNTIFS(nrES_PID,$D1155,nrES_Code,$F1155,nrES_Att,2)&gt;0,"Retested",IF(OR($T1155="",NOT(ISNUMBER($T1155))),"Pending",IF(TODAY()&gt;$T1155,"OVERDUE","Due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IF($Q1156&lt;&gt;"Yes","",IF(COUNTIFS(nrES_PID,$D1156,nrES_Code,$F1156,nrES_Att,2)&gt;0,"Retested",IF(OR($T1156="",NOT(ISNUMBER($T1156))),"Pending",IF(TODAY()&gt;$T1156,"OVERDUE","Due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IF($Q1157&lt;&gt;"Yes","",IF(COUNTIFS(nrES_PID,$D1157,nrES_Code,$F1157,nrES_Att,2)&gt;0,"Retested",IF(OR($T1157="",NOT(ISNUMBER($T1157))),"Pending",IF(TODAY()&gt;$T1157,"OVERDUE","Due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IF($Q1158&lt;&gt;"Yes","",IF(COUNTIFS(nrES_PID,$D1158,nrES_Code,$F1158,nrES_Att,2)&gt;0,"Retested",IF(OR($T1158="",NOT(ISNUMBER($T1158))),"Pending",IF(TODAY()&gt;$T1158,"OVERDUE","Due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IF($Q1159&lt;&gt;"Yes","",IF(COUNTIFS(nrES_PID,$D1159,nrES_Code,$F1159,nrES_Att,2)&gt;0,"Retested",IF(OR($T1159="",NOT(ISNUMBER($T1159))),"Pending",IF(TODAY()&gt;$T1159,"OVERDUE","Due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IF($Q1160&lt;&gt;"Yes","",IF(COUNTIFS(nrES_PID,$D1160,nrES_Code,$F1160,nrES_Att,2)&gt;0,"Retested",IF(OR($T1160="",NOT(ISNUMBER($T1160))),"Pending",IF(TODAY()&gt;$T1160,"OVERDUE","Due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IF($Q1161&lt;&gt;"Yes","",IF(COUNTIFS(nrES_PID,$D1161,nrES_Code,$F1161,nrES_Att,2)&gt;0,"Retested",IF(OR($T1161="",NOT(ISNUMBER($T1161))),"Pending",IF(TODAY()&gt;$T1161,"OVERDUE","Due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IF($Q1162&lt;&gt;"Yes","",IF(COUNTIFS(nrES_PID,$D1162,nrES_Code,$F1162,nrES_Att,2)&gt;0,"Retested",IF(OR($T1162="",NOT(ISNUMBER($T1162))),"Pending",IF(TODAY()&gt;$T1162,"OVERDUE","Due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IF($Q1163&lt;&gt;"Yes","",IF(COUNTIFS(nrES_PID,$D1163,nrES_Code,$F1163,nrES_Att,2)&gt;0,"Retested",IF(OR($T1163="",NOT(ISNUMBER($T1163))),"Pending",IF(TODAY()&gt;$T1163,"OVERDUE","Due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IF($Q1164&lt;&gt;"Yes","",IF(COUNTIFS(nrES_PID,$D1164,nrES_Code,$F1164,nrES_Att,2)&gt;0,"Retested",IF(OR($T1164="",NOT(ISNUMBER($T1164))),"Pending",IF(TODAY()&gt;$T1164,"OVERDUE","Due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IF($Q1165&lt;&gt;"Yes","",IF(COUNTIFS(nrES_PID,$D1165,nrES_Code,$F1165,nrES_Att,2)&gt;0,"Retested",IF(OR($T1165="",NOT(ISNUMBER($T1165))),"Pending",IF(TODAY()&gt;$T1165,"OVERDUE","Due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IF($Q1166&lt;&gt;"Yes","",IF(COUNTIFS(nrES_PID,$D1166,nrES_Code,$F1166,nrES_Att,2)&gt;0,"Retested",IF(OR($T1166="",NOT(ISNUMBER($T1166))),"Pending",IF(TODAY()&gt;$T1166,"OVERDUE","Due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IF($Q1167&lt;&gt;"Yes","",IF(COUNTIFS(nrES_PID,$D1167,nrES_Code,$F1167,nrES_Att,2)&gt;0,"Retested",IF(OR($T1167="",NOT(ISNUMBER($T1167))),"Pending",IF(TODAY()&gt;$T1167,"OVERDUE","Due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IF($Q1168&lt;&gt;"Yes","",IF(COUNTIFS(nrES_PID,$D1168,nrES_Code,$F1168,nrES_Att,2)&gt;0,"Retested",IF(OR($T1168="",NOT(ISNUMBER($T1168))),"Pending",IF(TODAY()&gt;$T1168,"OVERDUE","Due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IF($Q1169&lt;&gt;"Yes","",IF(COUNTIFS(nrES_PID,$D1169,nrES_Code,$F1169,nrES_Att,2)&gt;0,"Retested",IF(OR($T1169="",NOT(ISNUMBER($T1169))),"Pending",IF(TODAY()&gt;$T1169,"OVERDUE","Due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IF($Q1170&lt;&gt;"Yes","",IF(COUNTIFS(nrES_PID,$D1170,nrES_Code,$F1170,nrES_Att,2)&gt;0,"Retested",IF(OR($T1170="",NOT(ISNUMBER($T1170))),"Pending",IF(TODAY()&gt;$T1170,"OVERDUE","Due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IF($Q1171&lt;&gt;"Yes","",IF(COUNTIFS(nrES_PID,$D1171,nrES_Code,$F1171,nrES_Att,2)&gt;0,"Retested",IF(OR($T1171="",NOT(ISNUMBER($T1171))),"Pending",IF(TODAY()&gt;$T1171,"OVERDUE","Due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IF($Q1172&lt;&gt;"Yes","",IF(COUNTIFS(nrES_PID,$D1172,nrES_Code,$F1172,nrES_Att,2)&gt;0,"Retested",IF(OR($T1172="",NOT(ISNUMBER($T1172))),"Pending",IF(TODAY()&gt;$T1172,"OVERDUE","Due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IF($Q1173&lt;&gt;"Yes","",IF(COUNTIFS(nrES_PID,$D1173,nrES_Code,$F1173,nrES_Att,2)&gt;0,"Retested",IF(OR($T1173="",NOT(ISNUMBER($T1173))),"Pending",IF(TODAY()&gt;$T1173,"OVERDUE","Due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IF($Q1174&lt;&gt;"Yes","",IF(COUNTIFS(nrES_PID,$D1174,nrES_Code,$F1174,nrES_Att,2)&gt;0,"Retested",IF(OR($T1174="",NOT(ISNUMBER($T1174))),"Pending",IF(TODAY()&gt;$T1174,"OVERDUE","Due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IF($Q1175&lt;&gt;"Yes","",IF(COUNTIFS(nrES_PID,$D1175,nrES_Code,$F1175,nrES_Att,2)&gt;0,"Retested",IF(OR($T1175="",NOT(ISNUMBER($T1175))),"Pending",IF(TODAY()&gt;$T1175,"OVERDUE","Due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IF($Q1176&lt;&gt;"Yes","",IF(COUNTIFS(nrES_PID,$D1176,nrES_Code,$F1176,nrES_Att,2)&gt;0,"Retested",IF(OR($T1176="",NOT(ISNUMBER($T1176))),"Pending",IF(TODAY()&gt;$T1176,"OVERDUE","Due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IF($Q1177&lt;&gt;"Yes","",IF(COUNTIFS(nrES_PID,$D1177,nrES_Code,$F1177,nrES_Att,2)&gt;0,"Retested",IF(OR($T1177="",NOT(ISNUMBER($T1177))),"Pending",IF(TODAY()&gt;$T1177,"OVERDUE","Due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IF($Q1178&lt;&gt;"Yes","",IF(COUNTIFS(nrES_PID,$D1178,nrES_Code,$F1178,nrES_Att,2)&gt;0,"Retested",IF(OR($T1178="",NOT(ISNUMBER($T1178))),"Pending",IF(TODAY()&gt;$T1178,"OVERDUE","Due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IF($Q1179&lt;&gt;"Yes","",IF(COUNTIFS(nrES_PID,$D1179,nrES_Code,$F1179,nrES_Att,2)&gt;0,"Retested",IF(OR($T1179="",NOT(ISNUMBER($T1179))),"Pending",IF(TODAY()&gt;$T1179,"OVERDUE","Due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IF($Q1180&lt;&gt;"Yes","",IF(COUNTIFS(nrES_PID,$D1180,nrES_Code,$F1180,nrES_Att,2)&gt;0,"Retested",IF(OR($T1180="",NOT(ISNUMBER($T1180))),"Pending",IF(TODAY()&gt;$T1180,"OVERDUE","Due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IF($Q1181&lt;&gt;"Yes","",IF(COUNTIFS(nrES_PID,$D1181,nrES_Code,$F1181,nrES_Att,2)&gt;0,"Retested",IF(OR($T1181="",NOT(ISNUMBER($T1181))),"Pending",IF(TODAY()&gt;$T1181,"OVERDUE","Due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IF($Q1182&lt;&gt;"Yes","",IF(COUNTIFS(nrES_PID,$D1182,nrES_Code,$F1182,nrES_Att,2)&gt;0,"Retested",IF(OR($T1182="",NOT(ISNUMBER($T1182))),"Pending",IF(TODAY()&gt;$T1182,"OVERDUE","Due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IF($Q1183&lt;&gt;"Yes","",IF(COUNTIFS(nrES_PID,$D1183,nrES_Code,$F1183,nrES_Att,2)&gt;0,"Retested",IF(OR($T1183="",NOT(ISNUMBER($T1183))),"Pending",IF(TODAY()&gt;$T1183,"OVERDUE","Due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IF($Q1184&lt;&gt;"Yes","",IF(COUNTIFS(nrES_PID,$D1184,nrES_Code,$F1184,nrES_Att,2)&gt;0,"Retested",IF(OR($T1184="",NOT(ISNUMBER($T1184))),"Pending",IF(TODAY()&gt;$T1184,"OVERDUE","Due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IF($Q1185&lt;&gt;"Yes","",IF(COUNTIFS(nrES_PID,$D1185,nrES_Code,$F1185,nrES_Att,2)&gt;0,"Retested",IF(OR($T1185="",NOT(ISNUMBER($T1185))),"Pending",IF(TODAY()&gt;$T1185,"OVERDUE","Due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IF($Q1186&lt;&gt;"Yes","",IF(COUNTIFS(nrES_PID,$D1186,nrES_Code,$F1186,nrES_Att,2)&gt;0,"Retested",IF(OR($T1186="",NOT(ISNUMBER($T1186))),"Pending",IF(TODAY()&gt;$T1186,"OVERDUE","Due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IF($Q1187&lt;&gt;"Yes","",IF(COUNTIFS(nrES_PID,$D1187,nrES_Code,$F1187,nrES_Att,2)&gt;0,"Retested",IF(OR($T1187="",NOT(ISNUMBER($T1187))),"Pending",IF(TODAY()&gt;$T1187,"OVERDUE","Due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IF($Q1188&lt;&gt;"Yes","",IF(COUNTIFS(nrES_PID,$D1188,nrES_Code,$F1188,nrES_Att,2)&gt;0,"Retested",IF(OR($T1188="",NOT(ISNUMBER($T1188))),"Pending",IF(TODAY()&gt;$T1188,"OVERDUE","Due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IF($Q1189&lt;&gt;"Yes","",IF(COUNTIFS(nrES_PID,$D1189,nrES_Code,$F1189,nrES_Att,2)&gt;0,"Retested",IF(OR($T1189="",NOT(ISNUMBER($T1189))),"Pending",IF(TODAY()&gt;$T1189,"OVERDUE","Due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IF($Q1190&lt;&gt;"Yes","",IF(COUNTIFS(nrES_PID,$D1190,nrES_Code,$F1190,nrES_Att,2)&gt;0,"Retested",IF(OR($T1190="",NOT(ISNUMBER($T1190))),"Pending",IF(TODAY()&gt;$T1190,"OVERDUE","Due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IF($Q1191&lt;&gt;"Yes","",IF(COUNTIFS(nrES_PID,$D1191,nrES_Code,$F1191,nrES_Att,2)&gt;0,"Retested",IF(OR($T1191="",NOT(ISNUMBER($T1191))),"Pending",IF(TODAY()&gt;$T1191,"OVERDUE","Due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IF($Q1192&lt;&gt;"Yes","",IF(COUNTIFS(nrES_PID,$D1192,nrES_Code,$F1192,nrES_Att,2)&gt;0,"Retested",IF(OR($T1192="",NOT(ISNUMBER($T1192))),"Pending",IF(TODAY()&gt;$T1192,"OVERDUE","Due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IF($Q1193&lt;&gt;"Yes","",IF(COUNTIFS(nrES_PID,$D1193,nrES_Code,$F1193,nrES_Att,2)&gt;0,"Retested",IF(OR($T1193="",NOT(ISNUMBER($T1193))),"Pending",IF(TODAY()&gt;$T1193,"OVERDUE","Due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IF($Q1194&lt;&gt;"Yes","",IF(COUNTIFS(nrES_PID,$D1194,nrES_Code,$F1194,nrES_Att,2)&gt;0,"Retested",IF(OR($T1194="",NOT(ISNUMBER($T1194))),"Pending",IF(TODAY()&gt;$T1194,"OVERDUE","Due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IF($Q1195&lt;&gt;"Yes","",IF(COUNTIFS(nrES_PID,$D1195,nrES_Code,$F1195,nrES_Att,2)&gt;0,"Retested",IF(OR($T1195="",NOT(ISNUMBER($T1195))),"Pending",IF(TODAY()&gt;$T1195,"OVERDUE","Due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IF($Q1196&lt;&gt;"Yes","",IF(COUNTIFS(nrES_PID,$D1196,nrES_Code,$F1196,nrES_Att,2)&gt;0,"Retested",IF(OR($T1196="",NOT(ISNUMBER($T1196))),"Pending",IF(TODAY()&gt;$T1196,"OVERDUE","Due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IF($Q1197&lt;&gt;"Yes","",IF(COUNTIFS(nrES_PID,$D1197,nrES_Code,$F1197,nrES_Att,2)&gt;0,"Retested",IF(OR($T1197="",NOT(ISNUMBER($T1197))),"Pending",IF(TODAY()&gt;$T1197,"OVERDUE","Due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IF($Q1198&lt;&gt;"Yes","",IF(COUNTIFS(nrES_PID,$D1198,nrES_Code,$F1198,nrES_Att,2)&gt;0,"Retested",IF(OR($T1198="",NOT(ISNUMBER($T1198))),"Pending",IF(TODAY()&gt;$T1198,"OVERDUE","Due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IF($Q1199&lt;&gt;"Yes","",IF(COUNTIFS(nrES_PID,$D1199,nrES_Code,$F1199,nrES_Att,2)&gt;0,"Retested",IF(OR($T1199="",NOT(ISNUMBER($T1199))),"Pending",IF(TODAY()&gt;$T1199,"OVERDUE","Due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IF($Q1200&lt;&gt;"Yes","",IF(COUNTIFS(nrES_PID,$D1200,nrES_Code,$F1200,nrES_Att,2)&gt;0,"Retested",IF(OR($T1200="",NOT(ISNUMBER($T1200))),"Pending",IF(TODAY()&gt;$T1200,"OVERDUE","Due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IF($Q1201&lt;&gt;"Yes","",IF(COUNTIFS(nrES_PID,$D1201,nrES_Code,$F1201,nrES_Att,2)&gt;0,"Retested",IF(OR($T1201="",NOT(ISNUMBER($T1201))),"Pending",IF(TODAY()&gt;$T1201,"OVERDUE","Due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IF($Q1202&lt;&gt;"Yes","",IF(COUNTIFS(nrES_PID,$D1202,nrES_Code,$F1202,nrES_Att,2)&gt;0,"Retested",IF(OR($T1202="",NOT(ISNUMBER($T1202))),"Pending",IF(TODAY()&gt;$T1202,"OVERDUE","Due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IF($Q1203&lt;&gt;"Yes","",IF(COUNTIFS(nrES_PID,$D1203,nrES_Code,$F1203,nrES_Att,2)&gt;0,"Retested",IF(OR($T1203="",NOT(ISNUMBER($T1203))),"Pending",IF(TODAY()&gt;$T1203,"OVERDUE","Due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IF($Q1204&lt;&gt;"Yes","",IF(COUNTIFS(nrES_PID,$D1204,nrES_Code,$F1204,nrES_Att,2)&gt;0,"Retested",IF(OR($T1204="",NOT(ISNUMBER($T1204))),"Pending",IF(TODAY()&gt;$T1204,"OVERDUE","Due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IF($Q1205&lt;&gt;"Yes","",IF(COUNTIFS(nrES_PID,$D1205,nrES_Code,$F1205,nrES_Att,2)&gt;0,"Retested",IF(OR($T1205="",NOT(ISNUMBER($T1205))),"Pending",IF(TODAY()&gt;$T1205,"OVERDUE","Due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IF($Q1206&lt;&gt;"Yes","",IF(COUNTIFS(nrES_PID,$D1206,nrES_Code,$F1206,nrES_Att,2)&gt;0,"Retested",IF(OR($T1206="",NOT(ISNUMBER($T1206))),"Pending",IF(TODAY()&gt;$T1206,"OVERDUE","Due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IF($Q1207&lt;&gt;"Yes","",IF(COUNTIFS(nrES_PID,$D1207,nrES_Code,$F1207,nrES_Att,2)&gt;0,"Retested",IF(OR($T1207="",NOT(ISNUMBER($T1207))),"Pending",IF(TODAY()&gt;$T1207,"OVERDUE","Due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IF($Q1208&lt;&gt;"Yes","",IF(COUNTIFS(nrES_PID,$D1208,nrES_Code,$F1208,nrES_Att,2)&gt;0,"Retested",IF(OR($T1208="",NOT(ISNUMBER($T1208))),"Pending",IF(TODAY()&gt;$T1208,"OVERDUE","Due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IF($Q1209&lt;&gt;"Yes","",IF(COUNTIFS(nrES_PID,$D1209,nrES_Code,$F1209,nrES_Att,2)&gt;0,"Retested",IF(OR($T1209="",NOT(ISNUMBER($T1209))),"Pending",IF(TODAY()&gt;$T1209,"OVERDUE","Due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IF($Q1210&lt;&gt;"Yes","",IF(COUNTIFS(nrES_PID,$D1210,nrES_Code,$F1210,nrES_Att,2)&gt;0,"Retested",IF(OR($T1210="",NOT(ISNUMBER($T1210))),"Pending",IF(TODAY()&gt;$T1210,"OVERDUE","Due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IF($Q1211&lt;&gt;"Yes","",IF(COUNTIFS(nrES_PID,$D1211,nrES_Code,$F1211,nrES_Att,2)&gt;0,"Retested",IF(OR($T1211="",NOT(ISNUMBER($T1211))),"Pending",IF(TODAY()&gt;$T1211,"OVERDUE","Due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IF($Q1212&lt;&gt;"Yes","",IF(COUNTIFS(nrES_PID,$D1212,nrES_Code,$F1212,nrES_Att,2)&gt;0,"Retested",IF(OR($T1212="",NOT(ISNUMBER($T1212))),"Pending",IF(TODAY()&gt;$T1212,"OVERDUE","Due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IF($Q1213&lt;&gt;"Yes","",IF(COUNTIFS(nrES_PID,$D1213,nrES_Code,$F1213,nrES_Att,2)&gt;0,"Retested",IF(OR($T1213="",NOT(ISNUMBER($T1213))),"Pending",IF(TODAY()&gt;$T1213,"OVERDUE","Due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IF($Q1214&lt;&gt;"Yes","",IF(COUNTIFS(nrES_PID,$D1214,nrES_Code,$F1214,nrES_Att,2)&gt;0,"Retested",IF(OR($T1214="",NOT(ISNUMBER($T1214))),"Pending",IF(TODAY()&gt;$T1214,"OVERDUE","Due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IF($Q1215&lt;&gt;"Yes","",IF(COUNTIFS(nrES_PID,$D1215,nrES_Code,$F1215,nrES_Att,2)&gt;0,"Retested",IF(OR($T1215="",NOT(ISNUMBER($T1215))),"Pending",IF(TODAY()&gt;$T1215,"OVERDUE","Due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IF($Q1216&lt;&gt;"Yes","",IF(COUNTIFS(nrES_PID,$D1216,nrES_Code,$F1216,nrES_Att,2)&gt;0,"Retested",IF(OR($T1216="",NOT(ISNUMBER($T1216))),"Pending",IF(TODAY()&gt;$T1216,"OVERDUE","Due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IF($Q1217&lt;&gt;"Yes","",IF(COUNTIFS(nrES_PID,$D1217,nrES_Code,$F1217,nrES_Att,2)&gt;0,"Retested",IF(OR($T1217="",NOT(ISNUMBER($T1217))),"Pending",IF(TODAY()&gt;$T1217,"OVERDUE","Due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IF($Q1218&lt;&gt;"Yes","",IF(COUNTIFS(nrES_PID,$D1218,nrES_Code,$F1218,nrES_Att,2)&gt;0,"Retested",IF(OR($T1218="",NOT(ISNUMBER($T1218))),"Pending",IF(TODAY()&gt;$T1218,"OVERDUE","Due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IF($Q1219&lt;&gt;"Yes","",IF(COUNTIFS(nrES_PID,$D1219,nrES_Code,$F1219,nrES_Att,2)&gt;0,"Retested",IF(OR($T1219="",NOT(ISNUMBER($T1219))),"Pending",IF(TODAY()&gt;$T1219,"OVERDUE","Due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IF($Q1220&lt;&gt;"Yes","",IF(COUNTIFS(nrES_PID,$D1220,nrES_Code,$F1220,nrES_Att,2)&gt;0,"Retested",IF(OR($T1220="",NOT(ISNUMBER($T1220))),"Pending",IF(TODAY()&gt;$T1220,"OVERDUE","Due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IF($Q1221&lt;&gt;"Yes","",IF(COUNTIFS(nrES_PID,$D1221,nrES_Code,$F1221,nrES_Att,2)&gt;0,"Retested",IF(OR($T1221="",NOT(ISNUMBER($T1221))),"Pending",IF(TODAY()&gt;$T1221,"OVERDUE","Due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IF($Q1222&lt;&gt;"Yes","",IF(COUNTIFS(nrES_PID,$D1222,nrES_Code,$F1222,nrES_Att,2)&gt;0,"Retested",IF(OR($T1222="",NOT(ISNUMBER($T1222))),"Pending",IF(TODAY()&gt;$T1222,"OVERDUE","Due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IF($Q1223&lt;&gt;"Yes","",IF(COUNTIFS(nrES_PID,$D1223,nrES_Code,$F1223,nrES_Att,2)&gt;0,"Retested",IF(OR($T1223="",NOT(ISNUMBER($T1223))),"Pending",IF(TODAY()&gt;$T1223,"OVERDUE","Due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IF($Q1224&lt;&gt;"Yes","",IF(COUNTIFS(nrES_PID,$D1224,nrES_Code,$F1224,nrES_Att,2)&gt;0,"Retested",IF(OR($T1224="",NOT(ISNUMBER($T1224))),"Pending",IF(TODAY()&gt;$T1224,"OVERDUE","Due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IF($Q1225&lt;&gt;"Yes","",IF(COUNTIFS(nrES_PID,$D1225,nrES_Code,$F1225,nrES_Att,2)&gt;0,"Retested",IF(OR($T1225="",NOT(ISNUMBER($T1225))),"Pending",IF(TODAY()&gt;$T1225,"OVERDUE","Due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IF($Q1226&lt;&gt;"Yes","",IF(COUNTIFS(nrES_PID,$D1226,nrES_Code,$F1226,nrES_Att,2)&gt;0,"Retested",IF(OR($T1226="",NOT(ISNUMBER($T1226))),"Pending",IF(TODAY()&gt;$T1226,"OVERDUE","Due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IF($Q1227&lt;&gt;"Yes","",IF(COUNTIFS(nrES_PID,$D1227,nrES_Code,$F1227,nrES_Att,2)&gt;0,"Retested",IF(OR($T1227="",NOT(ISNUMBER($T1227))),"Pending",IF(TODAY()&gt;$T1227,"OVERDUE","Due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IF($Q1228&lt;&gt;"Yes","",IF(COUNTIFS(nrES_PID,$D1228,nrES_Code,$F1228,nrES_Att,2)&gt;0,"Retested",IF(OR($T1228="",NOT(ISNUMBER($T1228))),"Pending",IF(TODAY()&gt;$T1228,"OVERDUE","Due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IF($Q1229&lt;&gt;"Yes","",IF(COUNTIFS(nrES_PID,$D1229,nrES_Code,$F1229,nrES_Att,2)&gt;0,"Retested",IF(OR($T1229="",NOT(ISNUMBER($T1229))),"Pending",IF(TODAY()&gt;$T1229,"OVERDUE","Due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IF($Q1230&lt;&gt;"Yes","",IF(COUNTIFS(nrES_PID,$D1230,nrES_Code,$F1230,nrES_Att,2)&gt;0,"Retested",IF(OR($T1230="",NOT(ISNUMBER($T1230))),"Pending",IF(TODAY()&gt;$T1230,"OVERDUE","Due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IF($Q1231&lt;&gt;"Yes","",IF(COUNTIFS(nrES_PID,$D1231,nrES_Code,$F1231,nrES_Att,2)&gt;0,"Retested",IF(OR($T1231="",NOT(ISNUMBER($T1231))),"Pending",IF(TODAY()&gt;$T1231,"OVERDUE","Due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IF($Q1232&lt;&gt;"Yes","",IF(COUNTIFS(nrES_PID,$D1232,nrES_Code,$F1232,nrES_Att,2)&gt;0,"Retested",IF(OR($T1232="",NOT(ISNUMBER($T1232))),"Pending",IF(TODAY()&gt;$T1232,"OVERDUE","Due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IF($Q1233&lt;&gt;"Yes","",IF(COUNTIFS(nrES_PID,$D1233,nrES_Code,$F1233,nrES_Att,2)&gt;0,"Retested",IF(OR($T1233="",NOT(ISNUMBER($T1233))),"Pending",IF(TODAY()&gt;$T1233,"OVERDUE","Due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IF($Q1234&lt;&gt;"Yes","",IF(COUNTIFS(nrES_PID,$D1234,nrES_Code,$F1234,nrES_Att,2)&gt;0,"Retested",IF(OR($T1234="",NOT(ISNUMBER($T1234))),"Pending",IF(TODAY()&gt;$T1234,"OVERDUE","Due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IF($Q1235&lt;&gt;"Yes","",IF(COUNTIFS(nrES_PID,$D1235,nrES_Code,$F1235,nrES_Att,2)&gt;0,"Retested",IF(OR($T1235="",NOT(ISNUMBER($T1235))),"Pending",IF(TODAY()&gt;$T1235,"OVERDUE","Due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IF($Q1236&lt;&gt;"Yes","",IF(COUNTIFS(nrES_PID,$D1236,nrES_Code,$F1236,nrES_Att,2)&gt;0,"Retested",IF(OR($T1236="",NOT(ISNUMBER($T1236))),"Pending",IF(TODAY()&gt;$T1236,"OVERDUE","Due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IF($Q1237&lt;&gt;"Yes","",IF(COUNTIFS(nrES_PID,$D1237,nrES_Code,$F1237,nrES_Att,2)&gt;0,"Retested",IF(OR($T1237="",NOT(ISNUMBER($T1237))),"Pending",IF(TODAY()&gt;$T1237,"OVERDUE","Due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IF($Q1238&lt;&gt;"Yes","",IF(COUNTIFS(nrES_PID,$D1238,nrES_Code,$F1238,nrES_Att,2)&gt;0,"Retested",IF(OR($T1238="",NOT(ISNUMBER($T1238))),"Pending",IF(TODAY()&gt;$T1238,"OVERDUE","Due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IF($Q1239&lt;&gt;"Yes","",IF(COUNTIFS(nrES_PID,$D1239,nrES_Code,$F1239,nrES_Att,2)&gt;0,"Retested",IF(OR($T1239="",NOT(ISNUMBER($T1239))),"Pending",IF(TODAY()&gt;$T1239,"OVERDUE","Due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IF($Q1240&lt;&gt;"Yes","",IF(COUNTIFS(nrES_PID,$D1240,nrES_Code,$F1240,nrES_Att,2)&gt;0,"Retested",IF(OR($T1240="",NOT(ISNUMBER($T1240))),"Pending",IF(TODAY()&gt;$T1240,"OVERDUE","Due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IF($Q1241&lt;&gt;"Yes","",IF(COUNTIFS(nrES_PID,$D1241,nrES_Code,$F1241,nrES_Att,2)&gt;0,"Retested",IF(OR($T1241="",NOT(ISNUMBER($T1241))),"Pending",IF(TODAY()&gt;$T1241,"OVERDUE","Due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IF($Q1242&lt;&gt;"Yes","",IF(COUNTIFS(nrES_PID,$D1242,nrES_Code,$F1242,nrES_Att,2)&gt;0,"Retested",IF(OR($T1242="",NOT(ISNUMBER($T1242))),"Pending",IF(TODAY()&gt;$T1242,"OVERDUE","Due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IF($Q1243&lt;&gt;"Yes","",IF(COUNTIFS(nrES_PID,$D1243,nrES_Code,$F1243,nrES_Att,2)&gt;0,"Retested",IF(OR($T1243="",NOT(ISNUMBER($T1243))),"Pending",IF(TODAY()&gt;$T1243,"OVERDUE","Due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IF($Q1244&lt;&gt;"Yes","",IF(COUNTIFS(nrES_PID,$D1244,nrES_Code,$F1244,nrES_Att,2)&gt;0,"Retested",IF(OR($T1244="",NOT(ISNUMBER($T1244))),"Pending",IF(TODAY()&gt;$T1244,"OVERDUE","Due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IF($Q1245&lt;&gt;"Yes","",IF(COUNTIFS(nrES_PID,$D1245,nrES_Code,$F1245,nrES_Att,2)&gt;0,"Retested",IF(OR($T1245="",NOT(ISNUMBER($T1245))),"Pending",IF(TODAY()&gt;$T1245,"OVERDUE","Due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IF($Q1246&lt;&gt;"Yes","",IF(COUNTIFS(nrES_PID,$D1246,nrES_Code,$F1246,nrES_Att,2)&gt;0,"Retested",IF(OR($T1246="",NOT(ISNUMBER($T1246))),"Pending",IF(TODAY()&gt;$T1246,"OVERDUE","Due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IF($Q1247&lt;&gt;"Yes","",IF(COUNTIFS(nrES_PID,$D1247,nrES_Code,$F1247,nrES_Att,2)&gt;0,"Retested",IF(OR($T1247="",NOT(ISNUMBER($T1247))),"Pending",IF(TODAY()&gt;$T1247,"OVERDUE","Due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IF($Q1248&lt;&gt;"Yes","",IF(COUNTIFS(nrES_PID,$D1248,nrES_Code,$F1248,nrES_Att,2)&gt;0,"Retested",IF(OR($T1248="",NOT(ISNUMBER($T1248))),"Pending",IF(TODAY()&gt;$T1248,"OVERDUE","Due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IF($Q1249&lt;&gt;"Yes","",IF(COUNTIFS(nrES_PID,$D1249,nrES_Code,$F1249,nrES_Att,2)&gt;0,"Retested",IF(OR($T1249="",NOT(ISNUMBER($T1249))),"Pending",IF(TODAY()&gt;$T1249,"OVERDUE","Due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IF($Q1250&lt;&gt;"Yes","",IF(COUNTIFS(nrES_PID,$D1250,nrES_Code,$F1250,nrES_Att,2)&gt;0,"Retested",IF(OR($T1250="",NOT(ISNUMBER($T1250))),"Pending",IF(TODAY()&gt;$T1250,"OVERDUE","Due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IF($Q1251&lt;&gt;"Yes","",IF(COUNTIFS(nrES_PID,$D1251,nrES_Code,$F1251,nrES_Att,2)&gt;0,"Retested",IF(OR($T1251="",NOT(ISNUMBER($T1251))),"Pending",IF(TODAY()&gt;$T1251,"OVERDUE","Due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IF($Q1252&lt;&gt;"Yes","",IF(COUNTIFS(nrES_PID,$D1252,nrES_Code,$F1252,nrES_Att,2)&gt;0,"Retested",IF(OR($T1252="",NOT(ISNUMBER($T1252))),"Pending",IF(TODAY()&gt;$T1252,"OVERDUE","Due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IF($Q1253&lt;&gt;"Yes","",IF(COUNTIFS(nrES_PID,$D1253,nrES_Code,$F1253,nrES_Att,2)&gt;0,"Retested",IF(OR($T1253="",NOT(ISNUMBER($T1253))),"Pending",IF(TODAY()&gt;$T1253,"OVERDUE","Due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IF($Q1254&lt;&gt;"Yes","",IF(COUNTIFS(nrES_PID,$D1254,nrES_Code,$F1254,nrES_Att,2)&gt;0,"Retested",IF(OR($T1254="",NOT(ISNUMBER($T1254))),"Pending",IF(TODAY()&gt;$T1254,"OVERDUE","Due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IF($Q1255&lt;&gt;"Yes","",IF(COUNTIFS(nrES_PID,$D1255,nrES_Code,$F1255,nrES_Att,2)&gt;0,"Retested",IF(OR($T1255="",NOT(ISNUMBER($T1255))),"Pending",IF(TODAY()&gt;$T1255,"OVERDUE","Due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IF($Q1256&lt;&gt;"Yes","",IF(COUNTIFS(nrES_PID,$D1256,nrES_Code,$F1256,nrES_Att,2)&gt;0,"Retested",IF(OR($T1256="",NOT(ISNUMBER($T1256))),"Pending",IF(TODAY()&gt;$T1256,"OVERDUE","Due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IF($Q1257&lt;&gt;"Yes","",IF(COUNTIFS(nrES_PID,$D1257,nrES_Code,$F1257,nrES_Att,2)&gt;0,"Retested",IF(OR($T1257="",NOT(ISNUMBER($T1257))),"Pending",IF(TODAY()&gt;$T1257,"OVERDUE","Due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IF($Q1258&lt;&gt;"Yes","",IF(COUNTIFS(nrES_PID,$D1258,nrES_Code,$F1258,nrES_Att,2)&gt;0,"Retested",IF(OR($T1258="",NOT(ISNUMBER($T1258))),"Pending",IF(TODAY()&gt;$T1258,"OVERDUE","Due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IF($Q1259&lt;&gt;"Yes","",IF(COUNTIFS(nrES_PID,$D1259,nrES_Code,$F1259,nrES_Att,2)&gt;0,"Retested",IF(OR($T1259="",NOT(ISNUMBER($T1259))),"Pending",IF(TODAY()&gt;$T1259,"OVERDUE","Due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IF($Q1260&lt;&gt;"Yes","",IF(COUNTIFS(nrES_PID,$D1260,nrES_Code,$F1260,nrES_Att,2)&gt;0,"Retested",IF(OR($T1260="",NOT(ISNUMBER($T1260))),"Pending",IF(TODAY()&gt;$T1260,"OVERDUE","Due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IF($Q1261&lt;&gt;"Yes","",IF(COUNTIFS(nrES_PID,$D1261,nrES_Code,$F1261,nrES_Att,2)&gt;0,"Retested",IF(OR($T1261="",NOT(ISNUMBER($T1261))),"Pending",IF(TODAY()&gt;$T1261,"OVERDUE","Due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IF($Q1262&lt;&gt;"Yes","",IF(COUNTIFS(nrES_PID,$D1262,nrES_Code,$F1262,nrES_Att,2)&gt;0,"Retested",IF(OR($T1262="",NOT(ISNUMBER($T1262))),"Pending",IF(TODAY()&gt;$T1262,"OVERDUE","Due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IF($Q1263&lt;&gt;"Yes","",IF(COUNTIFS(nrES_PID,$D1263,nrES_Code,$F1263,nrES_Att,2)&gt;0,"Retested",IF(OR($T1263="",NOT(ISNUMBER($T1263))),"Pending",IF(TODAY()&gt;$T1263,"OVERDUE","Due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IF($Q1264&lt;&gt;"Yes","",IF(COUNTIFS(nrES_PID,$D1264,nrES_Code,$F1264,nrES_Att,2)&gt;0,"Retested",IF(OR($T1264="",NOT(ISNUMBER($T1264))),"Pending",IF(TODAY()&gt;$T1264,"OVERDUE","Due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IF($Q1265&lt;&gt;"Yes","",IF(COUNTIFS(nrES_PID,$D1265,nrES_Code,$F1265,nrES_Att,2)&gt;0,"Retested",IF(OR($T1265="",NOT(ISNUMBER($T1265))),"Pending",IF(TODAY()&gt;$T1265,"OVERDUE","Due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IF($Q1266&lt;&gt;"Yes","",IF(COUNTIFS(nrES_PID,$D1266,nrES_Code,$F1266,nrES_Att,2)&gt;0,"Retested",IF(OR($T1266="",NOT(ISNUMBER($T1266))),"Pending",IF(TODAY()&gt;$T1266,"OVERDUE","Due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IF($Q1267&lt;&gt;"Yes","",IF(COUNTIFS(nrES_PID,$D1267,nrES_Code,$F1267,nrES_Att,2)&gt;0,"Retested",IF(OR($T1267="",NOT(ISNUMBER($T1267))),"Pending",IF(TODAY()&gt;$T1267,"OVERDUE","Due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IF($Q1268&lt;&gt;"Yes","",IF(COUNTIFS(nrES_PID,$D1268,nrES_Code,$F1268,nrES_Att,2)&gt;0,"Retested",IF(OR($T1268="",NOT(ISNUMBER($T1268))),"Pending",IF(TODAY()&gt;$T1268,"OVERDUE","Due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IF($Q1269&lt;&gt;"Yes","",IF(COUNTIFS(nrES_PID,$D1269,nrES_Code,$F1269,nrES_Att,2)&gt;0,"Retested",IF(OR($T1269="",NOT(ISNUMBER($T1269))),"Pending",IF(TODAY()&gt;$T1269,"OVERDUE","Due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IF($Q1270&lt;&gt;"Yes","",IF(COUNTIFS(nrES_PID,$D1270,nrES_Code,$F1270,nrES_Att,2)&gt;0,"Retested",IF(OR($T1270="",NOT(ISNUMBER($T1270))),"Pending",IF(TODAY()&gt;$T1270,"OVERDUE","Due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IF($Q1271&lt;&gt;"Yes","",IF(COUNTIFS(nrES_PID,$D1271,nrES_Code,$F1271,nrES_Att,2)&gt;0,"Retested",IF(OR($T1271="",NOT(ISNUMBER($T1271))),"Pending",IF(TODAY()&gt;$T1271,"OVERDUE","Due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IF($Q1272&lt;&gt;"Yes","",IF(COUNTIFS(nrES_PID,$D1272,nrES_Code,$F1272,nrES_Att,2)&gt;0,"Retested",IF(OR($T1272="",NOT(ISNUMBER($T1272))),"Pending",IF(TODAY()&gt;$T1272,"OVERDUE","Due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IF($Q1273&lt;&gt;"Yes","",IF(COUNTIFS(nrES_PID,$D1273,nrES_Code,$F1273,nrES_Att,2)&gt;0,"Retested",IF(OR($T1273="",NOT(ISNUMBER($T1273))),"Pending",IF(TODAY()&gt;$T1273,"OVERDUE","Due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IF($Q1274&lt;&gt;"Yes","",IF(COUNTIFS(nrES_PID,$D1274,nrES_Code,$F1274,nrES_Att,2)&gt;0,"Retested",IF(OR($T1274="",NOT(ISNUMBER($T1274))),"Pending",IF(TODAY()&gt;$T1274,"OVERDUE","Due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IF($Q1275&lt;&gt;"Yes","",IF(COUNTIFS(nrES_PID,$D1275,nrES_Code,$F1275,nrES_Att,2)&gt;0,"Retested",IF(OR($T1275="",NOT(ISNUMBER($T1275))),"Pending",IF(TODAY()&gt;$T1275,"OVERDUE","Due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IF($Q1276&lt;&gt;"Yes","",IF(COUNTIFS(nrES_PID,$D1276,nrES_Code,$F1276,nrES_Att,2)&gt;0,"Retested",IF(OR($T1276="",NOT(ISNUMBER($T1276))),"Pending",IF(TODAY()&gt;$T1276,"OVERDUE","Due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IF($Q1277&lt;&gt;"Yes","",IF(COUNTIFS(nrES_PID,$D1277,nrES_Code,$F1277,nrES_Att,2)&gt;0,"Retested",IF(OR($T1277="",NOT(ISNUMBER($T1277))),"Pending",IF(TODAY()&gt;$T1277,"OVERDUE","Due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IF($Q1278&lt;&gt;"Yes","",IF(COUNTIFS(nrES_PID,$D1278,nrES_Code,$F1278,nrES_Att,2)&gt;0,"Retested",IF(OR($T1278="",NOT(ISNUMBER($T1278))),"Pending",IF(TODAY()&gt;$T1278,"OVERDUE","Due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IF($Q1279&lt;&gt;"Yes","",IF(COUNTIFS(nrES_PID,$D1279,nrES_Code,$F1279,nrES_Att,2)&gt;0,"Retested",IF(OR($T1279="",NOT(ISNUMBER($T1279))),"Pending",IF(TODAY()&gt;$T1279,"OVERDUE","Due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IF($Q1280&lt;&gt;"Yes","",IF(COUNTIFS(nrES_PID,$D1280,nrES_Code,$F1280,nrES_Att,2)&gt;0,"Retested",IF(OR($T1280="",NOT(ISNUMBER($T1280))),"Pending",IF(TODAY()&gt;$T1280,"OVERDUE","Due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IF($Q1281&lt;&gt;"Yes","",IF(COUNTIFS(nrES_PID,$D1281,nrES_Code,$F1281,nrES_Att,2)&gt;0,"Retested",IF(OR($T1281="",NOT(ISNUMBER($T1281))),"Pending",IF(TODAY()&gt;$T1281,"OVERDUE","Due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IF($Q1282&lt;&gt;"Yes","",IF(COUNTIFS(nrES_PID,$D1282,nrES_Code,$F1282,nrES_Att,2)&gt;0,"Retested",IF(OR($T1282="",NOT(ISNUMBER($T1282))),"Pending",IF(TODAY()&gt;$T1282,"OVERDUE","Due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IF($Q1283&lt;&gt;"Yes","",IF(COUNTIFS(nrES_PID,$D1283,nrES_Code,$F1283,nrES_Att,2)&gt;0,"Retested",IF(OR($T1283="",NOT(ISNUMBER($T1283))),"Pending",IF(TODAY()&gt;$T1283,"OVERDUE","Due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IF($Q1284&lt;&gt;"Yes","",IF(COUNTIFS(nrES_PID,$D1284,nrES_Code,$F1284,nrES_Att,2)&gt;0,"Retested",IF(OR($T1284="",NOT(ISNUMBER($T1284))),"Pending",IF(TODAY()&gt;$T1284,"OVERDUE","Due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IF($Q1285&lt;&gt;"Yes","",IF(COUNTIFS(nrES_PID,$D1285,nrES_Code,$F1285,nrES_Att,2)&gt;0,"Retested",IF(OR($T1285="",NOT(ISNUMBER($T1285))),"Pending",IF(TODAY()&gt;$T1285,"OVERDUE","Due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IF($Q1286&lt;&gt;"Yes","",IF(COUNTIFS(nrES_PID,$D1286,nrES_Code,$F1286,nrES_Att,2)&gt;0,"Retested",IF(OR($T1286="",NOT(ISNUMBER($T1286))),"Pending",IF(TODAY()&gt;$T1286,"OVERDUE","Due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IF($Q1287&lt;&gt;"Yes","",IF(COUNTIFS(nrES_PID,$D1287,nrES_Code,$F1287,nrES_Att,2)&gt;0,"Retested",IF(OR($T1287="",NOT(ISNUMBER($T1287))),"Pending",IF(TODAY()&gt;$T1287,"OVERDUE","Due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IF($Q1288&lt;&gt;"Yes","",IF(COUNTIFS(nrES_PID,$D1288,nrES_Code,$F1288,nrES_Att,2)&gt;0,"Retested",IF(OR($T1288="",NOT(ISNUMBER($T1288))),"Pending",IF(TODAY()&gt;$T1288,"OVERDUE","Due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IF($Q1289&lt;&gt;"Yes","",IF(COUNTIFS(nrES_PID,$D1289,nrES_Code,$F1289,nrES_Att,2)&gt;0,"Retested",IF(OR($T1289="",NOT(ISNUMBER($T1289))),"Pending",IF(TODAY()&gt;$T1289,"OVERDUE","Due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IF($Q1290&lt;&gt;"Yes","",IF(COUNTIFS(nrES_PID,$D1290,nrES_Code,$F1290,nrES_Att,2)&gt;0,"Retested",IF(OR($T1290="",NOT(ISNUMBER($T1290))),"Pending",IF(TODAY()&gt;$T1290,"OVERDUE","Due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IF($Q1291&lt;&gt;"Yes","",IF(COUNTIFS(nrES_PID,$D1291,nrES_Code,$F1291,nrES_Att,2)&gt;0,"Retested",IF(OR($T1291="",NOT(ISNUMBER($T1291))),"Pending",IF(TODAY()&gt;$T1291,"OVERDUE","Due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IF($Q1292&lt;&gt;"Yes","",IF(COUNTIFS(nrES_PID,$D1292,nrES_Code,$F1292,nrES_Att,2)&gt;0,"Retested",IF(OR($T1292="",NOT(ISNUMBER($T1292))),"Pending",IF(TODAY()&gt;$T1292,"OVERDUE","Due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IF($Q1293&lt;&gt;"Yes","",IF(COUNTIFS(nrES_PID,$D1293,nrES_Code,$F1293,nrES_Att,2)&gt;0,"Retested",IF(OR($T1293="",NOT(ISNUMBER($T1293))),"Pending",IF(TODAY()&gt;$T1293,"OVERDUE","Due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IF($Q1294&lt;&gt;"Yes","",IF(COUNTIFS(nrES_PID,$D1294,nrES_Code,$F1294,nrES_Att,2)&gt;0,"Retested",IF(OR($T1294="",NOT(ISNUMBER($T1294))),"Pending",IF(TODAY()&gt;$T1294,"OVERDUE","Due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IF($Q1295&lt;&gt;"Yes","",IF(COUNTIFS(nrES_PID,$D1295,nrES_Code,$F1295,nrES_Att,2)&gt;0,"Retested",IF(OR($T1295="",NOT(ISNUMBER($T1295))),"Pending",IF(TODAY()&gt;$T1295,"OVERDUE","Due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IF($Q1296&lt;&gt;"Yes","",IF(COUNTIFS(nrES_PID,$D1296,nrES_Code,$F1296,nrES_Att,2)&gt;0,"Retested",IF(OR($T1296="",NOT(ISNUMBER($T1296))),"Pending",IF(TODAY()&gt;$T1296,"OVERDUE","Due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IF($Q1297&lt;&gt;"Yes","",IF(COUNTIFS(nrES_PID,$D1297,nrES_Code,$F1297,nrES_Att,2)&gt;0,"Retested",IF(OR($T1297="",NOT(ISNUMBER($T1297))),"Pending",IF(TODAY()&gt;$T1297,"OVERDUE","Due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IF($Q1298&lt;&gt;"Yes","",IF(COUNTIFS(nrES_PID,$D1298,nrES_Code,$F1298,nrES_Att,2)&gt;0,"Retested",IF(OR($T1298="",NOT(ISNUMBER($T1298))),"Pending",IF(TODAY()&gt;$T1298,"OVERDUE","Due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IF($Q1299&lt;&gt;"Yes","",IF(COUNTIFS(nrES_PID,$D1299,nrES_Code,$F1299,nrES_Att,2)&gt;0,"Retested",IF(OR($T1299="",NOT(ISNUMBER($T1299))),"Pending",IF(TODAY()&gt;$T1299,"OVERDUE","Due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IF($Q1300&lt;&gt;"Yes","",IF(COUNTIFS(nrES_PID,$D1300,nrES_Code,$F1300,nrES_Att,2)&gt;0,"Retested",IF(OR($T1300="",NOT(ISNUMBER($T1300))),"Pending",IF(TODAY()&gt;$T1300,"OVERDUE","Due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IF($Q1301&lt;&gt;"Yes","",IF(COUNTIFS(nrES_PID,$D1301,nrES_Code,$F1301,nrES_Att,2)&gt;0,"Retested",IF(OR($T1301="",NOT(ISNUMBER($T1301))),"Pending",IF(TODAY()&gt;$T1301,"OVERDUE","Due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IF($Q1302&lt;&gt;"Yes","",IF(COUNTIFS(nrES_PID,$D1302,nrES_Code,$F1302,nrES_Att,2)&gt;0,"Retested",IF(OR($T1302="",NOT(ISNUMBER($T1302))),"Pending",IF(TODAY()&gt;$T1302,"OVERDUE","Due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IF($Q1303&lt;&gt;"Yes","",IF(COUNTIFS(nrES_PID,$D1303,nrES_Code,$F1303,nrES_Att,2)&gt;0,"Retested",IF(OR($T1303="",NOT(ISNUMBER($T1303))),"Pending",IF(TODAY()&gt;$T1303,"OVERDUE","Due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IF($Q1304&lt;&gt;"Yes","",IF(COUNTIFS(nrES_PID,$D1304,nrES_Code,$F1304,nrES_Att,2)&gt;0,"Retested",IF(OR($T1304="",NOT(ISNUMBER($T1304))),"Pending",IF(TODAY()&gt;$T1304,"OVERDUE","Due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IF($Q1305&lt;&gt;"Yes","",IF(COUNTIFS(nrES_PID,$D1305,nrES_Code,$F1305,nrES_Att,2)&gt;0,"Retested",IF(OR($T1305="",NOT(ISNUMBER($T1305))),"Pending",IF(TODAY()&gt;$T1305,"OVERDUE","Due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IF($Q1306&lt;&gt;"Yes","",IF(COUNTIFS(nrES_PID,$D1306,nrES_Code,$F1306,nrES_Att,2)&gt;0,"Retested",IF(OR($T1306="",NOT(ISNUMBER($T1306))),"Pending",IF(TODAY()&gt;$T1306,"OVERDUE","Due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IF($Q1307&lt;&gt;"Yes","",IF(COUNTIFS(nrES_PID,$D1307,nrES_Code,$F1307,nrES_Att,2)&gt;0,"Retested",IF(OR($T1307="",NOT(ISNUMBER($T1307))),"Pending",IF(TODAY()&gt;$T1307,"OVERDUE","Due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IF($Q1308&lt;&gt;"Yes","",IF(COUNTIFS(nrES_PID,$D1308,nrES_Code,$F1308,nrES_Att,2)&gt;0,"Retested",IF(OR($T1308="",NOT(ISNUMBER($T1308))),"Pending",IF(TODAY()&gt;$T1308,"OVERDUE","Due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IF($Q1309&lt;&gt;"Yes","",IF(COUNTIFS(nrES_PID,$D1309,nrES_Code,$F1309,nrES_Att,2)&gt;0,"Retested",IF(OR($T1309="",NOT(ISNUMBER($T1309))),"Pending",IF(TODAY()&gt;$T1309,"OVERDUE","Due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IF($Q1310&lt;&gt;"Yes","",IF(COUNTIFS(nrES_PID,$D1310,nrES_Code,$F1310,nrES_Att,2)&gt;0,"Retested",IF(OR($T1310="",NOT(ISNUMBER($T1310))),"Pending",IF(TODAY()&gt;$T1310,"OVERDUE","Due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IF($Q1311&lt;&gt;"Yes","",IF(COUNTIFS(nrES_PID,$D1311,nrES_Code,$F1311,nrES_Att,2)&gt;0,"Retested",IF(OR($T1311="",NOT(ISNUMBER($T1311))),"Pending",IF(TODAY()&gt;$T1311,"OVERDUE","Due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IF($Q1312&lt;&gt;"Yes","",IF(COUNTIFS(nrES_PID,$D1312,nrES_Code,$F1312,nrES_Att,2)&gt;0,"Retested",IF(OR($T1312="",NOT(ISNUMBER($T1312))),"Pending",IF(TODAY()&gt;$T1312,"OVERDUE","Due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IF($Q1313&lt;&gt;"Yes","",IF(COUNTIFS(nrES_PID,$D1313,nrES_Code,$F1313,nrES_Att,2)&gt;0,"Retested",IF(OR($T1313="",NOT(ISNUMBER($T1313))),"Pending",IF(TODAY()&gt;$T1313,"OVERDUE","Due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IF($Q1314&lt;&gt;"Yes","",IF(COUNTIFS(nrES_PID,$D1314,nrES_Code,$F1314,nrES_Att,2)&gt;0,"Retested",IF(OR($T1314="",NOT(ISNUMBER($T1314))),"Pending",IF(TODAY()&gt;$T1314,"OVERDUE","Due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IF($Q1315&lt;&gt;"Yes","",IF(COUNTIFS(nrES_PID,$D1315,nrES_Code,$F1315,nrES_Att,2)&gt;0,"Retested",IF(OR($T1315="",NOT(ISNUMBER($T1315))),"Pending",IF(TODAY()&gt;$T1315,"OVERDUE","Due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IF($Q1316&lt;&gt;"Yes","",IF(COUNTIFS(nrES_PID,$D1316,nrES_Code,$F1316,nrES_Att,2)&gt;0,"Retested",IF(OR($T1316="",NOT(ISNUMBER($T1316))),"Pending",IF(TODAY()&gt;$T1316,"OVERDUE","Due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IF($Q1317&lt;&gt;"Yes","",IF(COUNTIFS(nrES_PID,$D1317,nrES_Code,$F1317,nrES_Att,2)&gt;0,"Retested",IF(OR($T1317="",NOT(ISNUMBER($T1317))),"Pending",IF(TODAY()&gt;$T1317,"OVERDUE","Due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IF($Q1318&lt;&gt;"Yes","",IF(COUNTIFS(nrES_PID,$D1318,nrES_Code,$F1318,nrES_Att,2)&gt;0,"Retested",IF(OR($T1318="",NOT(ISNUMBER($T1318))),"Pending",IF(TODAY()&gt;$T1318,"OVERDUE","Due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IF($Q1319&lt;&gt;"Yes","",IF(COUNTIFS(nrES_PID,$D1319,nrES_Code,$F1319,nrES_Att,2)&gt;0,"Retested",IF(OR($T1319="",NOT(ISNUMBER($T1319))),"Pending",IF(TODAY()&gt;$T1319,"OVERDUE","Due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IF($Q1320&lt;&gt;"Yes","",IF(COUNTIFS(nrES_PID,$D1320,nrES_Code,$F1320,nrES_Att,2)&gt;0,"Retested",IF(OR($T1320="",NOT(ISNUMBER($T1320))),"Pending",IF(TODAY()&gt;$T1320,"OVERDUE","Due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IF($Q1321&lt;&gt;"Yes","",IF(COUNTIFS(nrES_PID,$D1321,nrES_Code,$F1321,nrES_Att,2)&gt;0,"Retested",IF(OR($T1321="",NOT(ISNUMBER($T1321))),"Pending",IF(TODAY()&gt;$T1321,"OVERDUE","Due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IF($Q1322&lt;&gt;"Yes","",IF(COUNTIFS(nrES_PID,$D1322,nrES_Code,$F1322,nrES_Att,2)&gt;0,"Retested",IF(OR($T1322="",NOT(ISNUMBER($T1322))),"Pending",IF(TODAY()&gt;$T1322,"OVERDUE","Due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IF($Q1323&lt;&gt;"Yes","",IF(COUNTIFS(nrES_PID,$D1323,nrES_Code,$F1323,nrES_Att,2)&gt;0,"Retested",IF(OR($T1323="",NOT(ISNUMBER($T1323))),"Pending",IF(TODAY()&gt;$T1323,"OVERDUE","Due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IF($Q1324&lt;&gt;"Yes","",IF(COUNTIFS(nrES_PID,$D1324,nrES_Code,$F1324,nrES_Att,2)&gt;0,"Retested",IF(OR($T1324="",NOT(ISNUMBER($T1324))),"Pending",IF(TODAY()&gt;$T1324,"OVERDUE","Due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IF($Q1325&lt;&gt;"Yes","",IF(COUNTIFS(nrES_PID,$D1325,nrES_Code,$F1325,nrES_Att,2)&gt;0,"Retested",IF(OR($T1325="",NOT(ISNUMBER($T1325))),"Pending",IF(TODAY()&gt;$T1325,"OVERDUE","Due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IF($Q1326&lt;&gt;"Yes","",IF(COUNTIFS(nrES_PID,$D1326,nrES_Code,$F1326,nrES_Att,2)&gt;0,"Retested",IF(OR($T1326="",NOT(ISNUMBER($T1326))),"Pending",IF(TODAY()&gt;$T1326,"OVERDUE","Due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IF($Q1327&lt;&gt;"Yes","",IF(COUNTIFS(nrES_PID,$D1327,nrES_Code,$F1327,nrES_Att,2)&gt;0,"Retested",IF(OR($T1327="",NOT(ISNUMBER($T1327))),"Pending",IF(TODAY()&gt;$T1327,"OVERDUE","Due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IF($Q1328&lt;&gt;"Yes","",IF(COUNTIFS(nrES_PID,$D1328,nrES_Code,$F1328,nrES_Att,2)&gt;0,"Retested",IF(OR($T1328="",NOT(ISNUMBER($T1328))),"Pending",IF(TODAY()&gt;$T1328,"OVERDUE","Due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IF($Q1329&lt;&gt;"Yes","",IF(COUNTIFS(nrES_PID,$D1329,nrES_Code,$F1329,nrES_Att,2)&gt;0,"Retested",IF(OR($T1329="",NOT(ISNUMBER($T1329))),"Pending",IF(TODAY()&gt;$T1329,"OVERDUE","Due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IF($Q1330&lt;&gt;"Yes","",IF(COUNTIFS(nrES_PID,$D1330,nrES_Code,$F1330,nrES_Att,2)&gt;0,"Retested",IF(OR($T1330="",NOT(ISNUMBER($T1330))),"Pending",IF(TODAY()&gt;$T1330,"OVERDUE","Due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IF($Q1331&lt;&gt;"Yes","",IF(COUNTIFS(nrES_PID,$D1331,nrES_Code,$F1331,nrES_Att,2)&gt;0,"Retested",IF(OR($T1331="",NOT(ISNUMBER($T1331))),"Pending",IF(TODAY()&gt;$T1331,"OVERDUE","Due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IF($Q1332&lt;&gt;"Yes","",IF(COUNTIFS(nrES_PID,$D1332,nrES_Code,$F1332,nrES_Att,2)&gt;0,"Retested",IF(OR($T1332="",NOT(ISNUMBER($T1332))),"Pending",IF(TODAY()&gt;$T1332,"OVERDUE","Due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IF($Q1333&lt;&gt;"Yes","",IF(COUNTIFS(nrES_PID,$D1333,nrES_Code,$F1333,nrES_Att,2)&gt;0,"Retested",IF(OR($T1333="",NOT(ISNUMBER($T1333))),"Pending",IF(TODAY()&gt;$T1333,"OVERDUE","Due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IF($Q1334&lt;&gt;"Yes","",IF(COUNTIFS(nrES_PID,$D1334,nrES_Code,$F1334,nrES_Att,2)&gt;0,"Retested",IF(OR($T1334="",NOT(ISNUMBER($T1334))),"Pending",IF(TODAY()&gt;$T1334,"OVERDUE","Due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IF($Q1335&lt;&gt;"Yes","",IF(COUNTIFS(nrES_PID,$D1335,nrES_Code,$F1335,nrES_Att,2)&gt;0,"Retested",IF(OR($T1335="",NOT(ISNUMBER($T1335))),"Pending",IF(TODAY()&gt;$T1335,"OVERDUE","Due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IF($Q1336&lt;&gt;"Yes","",IF(COUNTIFS(nrES_PID,$D1336,nrES_Code,$F1336,nrES_Att,2)&gt;0,"Retested",IF(OR($T1336="",NOT(ISNUMBER($T1336))),"Pending",IF(TODAY()&gt;$T1336,"OVERDUE","Due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IF($Q1337&lt;&gt;"Yes","",IF(COUNTIFS(nrES_PID,$D1337,nrES_Code,$F1337,nrES_Att,2)&gt;0,"Retested",IF(OR($T1337="",NOT(ISNUMBER($T1337))),"Pending",IF(TODAY()&gt;$T1337,"OVERDUE","Due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IF($Q1338&lt;&gt;"Yes","",IF(COUNTIFS(nrES_PID,$D1338,nrES_Code,$F1338,nrES_Att,2)&gt;0,"Retested",IF(OR($T1338="",NOT(ISNUMBER($T1338))),"Pending",IF(TODAY()&gt;$T1338,"OVERDUE","Due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IF($Q1339&lt;&gt;"Yes","",IF(COUNTIFS(nrES_PID,$D1339,nrES_Code,$F1339,nrES_Att,2)&gt;0,"Retested",IF(OR($T1339="",NOT(ISNUMBER($T1339))),"Pending",IF(TODAY()&gt;$T1339,"OVERDUE","Due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IF($Q1340&lt;&gt;"Yes","",IF(COUNTIFS(nrES_PID,$D1340,nrES_Code,$F1340,nrES_Att,2)&gt;0,"Retested",IF(OR($T1340="",NOT(ISNUMBER($T1340))),"Pending",IF(TODAY()&gt;$T1340,"OVERDUE","Due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IF($Q1341&lt;&gt;"Yes","",IF(COUNTIFS(nrES_PID,$D1341,nrES_Code,$F1341,nrES_Att,2)&gt;0,"Retested",IF(OR($T1341="",NOT(ISNUMBER($T1341))),"Pending",IF(TODAY()&gt;$T1341,"OVERDUE","Due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IF($Q1342&lt;&gt;"Yes","",IF(COUNTIFS(nrES_PID,$D1342,nrES_Code,$F1342,nrES_Att,2)&gt;0,"Retested",IF(OR($T1342="",NOT(ISNUMBER($T1342))),"Pending",IF(TODAY()&gt;$T1342,"OVERDUE","Due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IF($Q1343&lt;&gt;"Yes","",IF(COUNTIFS(nrES_PID,$D1343,nrES_Code,$F1343,nrES_Att,2)&gt;0,"Retested",IF(OR($T1343="",NOT(ISNUMBER($T1343))),"Pending",IF(TODAY()&gt;$T1343,"OVERDUE","Due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IF($Q1344&lt;&gt;"Yes","",IF(COUNTIFS(nrES_PID,$D1344,nrES_Code,$F1344,nrES_Att,2)&gt;0,"Retested",IF(OR($T1344="",NOT(ISNUMBER($T1344))),"Pending",IF(TODAY()&gt;$T1344,"OVERDUE","Due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IF($Q1345&lt;&gt;"Yes","",IF(COUNTIFS(nrES_PID,$D1345,nrES_Code,$F1345,nrES_Att,2)&gt;0,"Retested",IF(OR($T1345="",NOT(ISNUMBER($T1345))),"Pending",IF(TODAY()&gt;$T1345,"OVERDUE","Due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IF($Q1346&lt;&gt;"Yes","",IF(COUNTIFS(nrES_PID,$D1346,nrES_Code,$F1346,nrES_Att,2)&gt;0,"Retested",IF(OR($T1346="",NOT(ISNUMBER($T1346))),"Pending",IF(TODAY()&gt;$T1346,"OVERDUE","Due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IF($Q1347&lt;&gt;"Yes","",IF(COUNTIFS(nrES_PID,$D1347,nrES_Code,$F1347,nrES_Att,2)&gt;0,"Retested",IF(OR($T1347="",NOT(ISNUMBER($T1347))),"Pending",IF(TODAY()&gt;$T1347,"OVERDUE","Due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IF($Q1348&lt;&gt;"Yes","",IF(COUNTIFS(nrES_PID,$D1348,nrES_Code,$F1348,nrES_Att,2)&gt;0,"Retested",IF(OR($T1348="",NOT(ISNUMBER($T1348))),"Pending",IF(TODAY()&gt;$T1348,"OVERDUE","Due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IF($Q1349&lt;&gt;"Yes","",IF(COUNTIFS(nrES_PID,$D1349,nrES_Code,$F1349,nrES_Att,2)&gt;0,"Retested",IF(OR($T1349="",NOT(ISNUMBER($T1349))),"Pending",IF(TODAY()&gt;$T1349,"OVERDUE","Due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IF($Q1350&lt;&gt;"Yes","",IF(COUNTIFS(nrES_PID,$D1350,nrES_Code,$F1350,nrES_Att,2)&gt;0,"Retested",IF(OR($T1350="",NOT(ISNUMBER($T1350))),"Pending",IF(TODAY()&gt;$T1350,"OVERDUE","Due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IF($Q1351&lt;&gt;"Yes","",IF(COUNTIFS(nrES_PID,$D1351,nrES_Code,$F1351,nrES_Att,2)&gt;0,"Retested",IF(OR($T1351="",NOT(ISNUMBER($T1351))),"Pending",IF(TODAY()&gt;$T1351,"OVERDUE","Due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IF($Q1352&lt;&gt;"Yes","",IF(COUNTIFS(nrES_PID,$D1352,nrES_Code,$F1352,nrES_Att,2)&gt;0,"Retested",IF(OR($T1352="",NOT(ISNUMBER($T1352))),"Pending",IF(TODAY()&gt;$T1352,"OVERDUE","Due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IF($Q1353&lt;&gt;"Yes","",IF(COUNTIFS(nrES_PID,$D1353,nrES_Code,$F1353,nrES_Att,2)&gt;0,"Retested",IF(OR($T1353="",NOT(ISNUMBER($T1353))),"Pending",IF(TODAY()&gt;$T1353,"OVERDUE","Due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IF($Q1354&lt;&gt;"Yes","",IF(COUNTIFS(nrES_PID,$D1354,nrES_Code,$F1354,nrES_Att,2)&gt;0,"Retested",IF(OR($T1354="",NOT(ISNUMBER($T1354))),"Pending",IF(TODAY()&gt;$T1354,"OVERDUE","Due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IF($Q1355&lt;&gt;"Yes","",IF(COUNTIFS(nrES_PID,$D1355,nrES_Code,$F1355,nrES_Att,2)&gt;0,"Retested",IF(OR($T1355="",NOT(ISNUMBER($T1355))),"Pending",IF(TODAY()&gt;$T1355,"OVERDUE","Due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IF($Q1356&lt;&gt;"Yes","",IF(COUNTIFS(nrES_PID,$D1356,nrES_Code,$F1356,nrES_Att,2)&gt;0,"Retested",IF(OR($T1356="",NOT(ISNUMBER($T1356))),"Pending",IF(TODAY()&gt;$T1356,"OVERDUE","Due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IF($Q1357&lt;&gt;"Yes","",IF(COUNTIFS(nrES_PID,$D1357,nrES_Code,$F1357,nrES_Att,2)&gt;0,"Retested",IF(OR($T1357="",NOT(ISNUMBER($T1357))),"Pending",IF(TODAY()&gt;$T1357,"OVERDUE","Due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IF($Q1358&lt;&gt;"Yes","",IF(COUNTIFS(nrES_PID,$D1358,nrES_Code,$F1358,nrES_Att,2)&gt;0,"Retested",IF(OR($T1358="",NOT(ISNUMBER($T1358))),"Pending",IF(TODAY()&gt;$T1358,"OVERDUE","Due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IF($Q1359&lt;&gt;"Yes","",IF(COUNTIFS(nrES_PID,$D1359,nrES_Code,$F1359,nrES_Att,2)&gt;0,"Retested",IF(OR($T1359="",NOT(ISNUMBER($T1359))),"Pending",IF(TODAY()&gt;$T1359,"OVERDUE","Due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IF($Q1360&lt;&gt;"Yes","",IF(COUNTIFS(nrES_PID,$D1360,nrES_Code,$F1360,nrES_Att,2)&gt;0,"Retested",IF(OR($T1360="",NOT(ISNUMBER($T1360))),"Pending",IF(TODAY()&gt;$T1360,"OVERDUE","Due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IF($Q1361&lt;&gt;"Yes","",IF(COUNTIFS(nrES_PID,$D1361,nrES_Code,$F1361,nrES_Att,2)&gt;0,"Retested",IF(OR($T1361="",NOT(ISNUMBER($T1361))),"Pending",IF(TODAY()&gt;$T1361,"OVERDUE","Due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IF($Q1362&lt;&gt;"Yes","",IF(COUNTIFS(nrES_PID,$D1362,nrES_Code,$F1362,nrES_Att,2)&gt;0,"Retested",IF(OR($T1362="",NOT(ISNUMBER($T1362))),"Pending",IF(TODAY()&gt;$T1362,"OVERDUE","Due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IF($Q1363&lt;&gt;"Yes","",IF(COUNTIFS(nrES_PID,$D1363,nrES_Code,$F1363,nrES_Att,2)&gt;0,"Retested",IF(OR($T1363="",NOT(ISNUMBER($T1363))),"Pending",IF(TODAY()&gt;$T1363,"OVERDUE","Due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IF($Q1364&lt;&gt;"Yes","",IF(COUNTIFS(nrES_PID,$D1364,nrES_Code,$F1364,nrES_Att,2)&gt;0,"Retested",IF(OR($T1364="",NOT(ISNUMBER($T1364))),"Pending",IF(TODAY()&gt;$T1364,"OVERDUE","Due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IF($Q1365&lt;&gt;"Yes","",IF(COUNTIFS(nrES_PID,$D1365,nrES_Code,$F1365,nrES_Att,2)&gt;0,"Retested",IF(OR($T1365="",NOT(ISNUMBER($T1365))),"Pending",IF(TODAY()&gt;$T1365,"OVERDUE","Due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IF($Q1366&lt;&gt;"Yes","",IF(COUNTIFS(nrES_PID,$D1366,nrES_Code,$F1366,nrES_Att,2)&gt;0,"Retested",IF(OR($T1366="",NOT(ISNUMBER($T1366))),"Pending",IF(TODAY()&gt;$T1366,"OVERDUE","Due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IF($Q1367&lt;&gt;"Yes","",IF(COUNTIFS(nrES_PID,$D1367,nrES_Code,$F1367,nrES_Att,2)&gt;0,"Retested",IF(OR($T1367="",NOT(ISNUMBER($T1367))),"Pending",IF(TODAY()&gt;$T1367,"OVERDUE","Due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IF($Q1368&lt;&gt;"Yes","",IF(COUNTIFS(nrES_PID,$D1368,nrES_Code,$F1368,nrES_Att,2)&gt;0,"Retested",IF(OR($T1368="",NOT(ISNUMBER($T1368))),"Pending",IF(TODAY()&gt;$T1368,"OVERDUE","Due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IF($Q1369&lt;&gt;"Yes","",IF(COUNTIFS(nrES_PID,$D1369,nrES_Code,$F1369,nrES_Att,2)&gt;0,"Retested",IF(OR($T1369="",NOT(ISNUMBER($T1369))),"Pending",IF(TODAY()&gt;$T1369,"OVERDUE","Due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IF($Q1370&lt;&gt;"Yes","",IF(COUNTIFS(nrES_PID,$D1370,nrES_Code,$F1370,nrES_Att,2)&gt;0,"Retested",IF(OR($T1370="",NOT(ISNUMBER($T1370))),"Pending",IF(TODAY()&gt;$T1370,"OVERDUE","Due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IF($Q1371&lt;&gt;"Yes","",IF(COUNTIFS(nrES_PID,$D1371,nrES_Code,$F1371,nrES_Att,2)&gt;0,"Retested",IF(OR($T1371="",NOT(ISNUMBER($T1371))),"Pending",IF(TODAY()&gt;$T1371,"OVERDUE","Due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IF($Q1372&lt;&gt;"Yes","",IF(COUNTIFS(nrES_PID,$D1372,nrES_Code,$F1372,nrES_Att,2)&gt;0,"Retested",IF(OR($T1372="",NOT(ISNUMBER($T1372))),"Pending",IF(TODAY()&gt;$T1372,"OVERDUE","Due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IF($Q1373&lt;&gt;"Yes","",IF(COUNTIFS(nrES_PID,$D1373,nrES_Code,$F1373,nrES_Att,2)&gt;0,"Retested",IF(OR($T1373="",NOT(ISNUMBER($T1373))),"Pending",IF(TODAY()&gt;$T1373,"OVERDUE","Due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IF($Q1374&lt;&gt;"Yes","",IF(COUNTIFS(nrES_PID,$D1374,nrES_Code,$F1374,nrES_Att,2)&gt;0,"Retested",IF(OR($T1374="",NOT(ISNUMBER($T1374))),"Pending",IF(TODAY()&gt;$T1374,"OVERDUE","Due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IF($Q1375&lt;&gt;"Yes","",IF(COUNTIFS(nrES_PID,$D1375,nrES_Code,$F1375,nrES_Att,2)&gt;0,"Retested",IF(OR($T1375="",NOT(ISNUMBER($T1375))),"Pending",IF(TODAY()&gt;$T1375,"OVERDUE","Due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IF($Q1376&lt;&gt;"Yes","",IF(COUNTIFS(nrES_PID,$D1376,nrES_Code,$F1376,nrES_Att,2)&gt;0,"Retested",IF(OR($T1376="",NOT(ISNUMBER($T1376))),"Pending",IF(TODAY()&gt;$T1376,"OVERDUE","Due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IF($Q1377&lt;&gt;"Yes","",IF(COUNTIFS(nrES_PID,$D1377,nrES_Code,$F1377,nrES_Att,2)&gt;0,"Retested",IF(OR($T1377="",NOT(ISNUMBER($T1377))),"Pending",IF(TODAY()&gt;$T1377,"OVERDUE","Due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IF($Q1378&lt;&gt;"Yes","",IF(COUNTIFS(nrES_PID,$D1378,nrES_Code,$F1378,nrES_Att,2)&gt;0,"Retested",IF(OR($T1378="",NOT(ISNUMBER($T1378))),"Pending",IF(TODAY()&gt;$T1378,"OVERDUE","Due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IF($Q1379&lt;&gt;"Yes","",IF(COUNTIFS(nrES_PID,$D1379,nrES_Code,$F1379,nrES_Att,2)&gt;0,"Retested",IF(OR($T1379="",NOT(ISNUMBER($T1379))),"Pending",IF(TODAY()&gt;$T1379,"OVERDUE","Due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IF($Q1380&lt;&gt;"Yes","",IF(COUNTIFS(nrES_PID,$D1380,nrES_Code,$F1380,nrES_Att,2)&gt;0,"Retested",IF(OR($T1380="",NOT(ISNUMBER($T1380))),"Pending",IF(TODAY()&gt;$T1380,"OVERDUE","Due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IF($Q1381&lt;&gt;"Yes","",IF(COUNTIFS(nrES_PID,$D1381,nrES_Code,$F1381,nrES_Att,2)&gt;0,"Retested",IF(OR($T1381="",NOT(ISNUMBER($T1381))),"Pending",IF(TODAY()&gt;$T1381,"OVERDUE","Due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IF($Q1382&lt;&gt;"Yes","",IF(COUNTIFS(nrES_PID,$D1382,nrES_Code,$F1382,nrES_Att,2)&gt;0,"Retested",IF(OR($T1382="",NOT(ISNUMBER($T1382))),"Pending",IF(TODAY()&gt;$T1382,"OVERDUE","Due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IF($Q1383&lt;&gt;"Yes","",IF(COUNTIFS(nrES_PID,$D1383,nrES_Code,$F1383,nrES_Att,2)&gt;0,"Retested",IF(OR($T1383="",NOT(ISNUMBER($T1383))),"Pending",IF(TODAY()&gt;$T1383,"OVERDUE","Due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IF($Q1384&lt;&gt;"Yes","",IF(COUNTIFS(nrES_PID,$D1384,nrES_Code,$F1384,nrES_Att,2)&gt;0,"Retested",IF(OR($T1384="",NOT(ISNUMBER($T1384))),"Pending",IF(TODAY()&gt;$T1384,"OVERDUE","Due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IF($Q1385&lt;&gt;"Yes","",IF(COUNTIFS(nrES_PID,$D1385,nrES_Code,$F1385,nrES_Att,2)&gt;0,"Retested",IF(OR($T1385="",NOT(ISNUMBER($T1385))),"Pending",IF(TODAY()&gt;$T1385,"OVERDUE","Due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IF($Q1386&lt;&gt;"Yes","",IF(COUNTIFS(nrES_PID,$D1386,nrES_Code,$F1386,nrES_Att,2)&gt;0,"Retested",IF(OR($T1386="",NOT(ISNUMBER($T1386))),"Pending",IF(TODAY()&gt;$T1386,"OVERDUE","Due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IF($Q1387&lt;&gt;"Yes","",IF(COUNTIFS(nrES_PID,$D1387,nrES_Code,$F1387,nrES_Att,2)&gt;0,"Retested",IF(OR($T1387="",NOT(ISNUMBER($T1387))),"Pending",IF(TODAY()&gt;$T1387,"OVERDUE","Due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IF($Q1388&lt;&gt;"Yes","",IF(COUNTIFS(nrES_PID,$D1388,nrES_Code,$F1388,nrES_Att,2)&gt;0,"Retested",IF(OR($T1388="",NOT(ISNUMBER($T1388))),"Pending",IF(TODAY()&gt;$T1388,"OVERDUE","Due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IF($Q1389&lt;&gt;"Yes","",IF(COUNTIFS(nrES_PID,$D1389,nrES_Code,$F1389,nrES_Att,2)&gt;0,"Retested",IF(OR($T1389="",NOT(ISNUMBER($T1389))),"Pending",IF(TODAY()&gt;$T1389,"OVERDUE","Due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IF($Q1390&lt;&gt;"Yes","",IF(COUNTIFS(nrES_PID,$D1390,nrES_Code,$F1390,nrES_Att,2)&gt;0,"Retested",IF(OR($T1390="",NOT(ISNUMBER($T1390))),"Pending",IF(TODAY()&gt;$T1390,"OVERDUE","Due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IF($Q1391&lt;&gt;"Yes","",IF(COUNTIFS(nrES_PID,$D1391,nrES_Code,$F1391,nrES_Att,2)&gt;0,"Retested",IF(OR($T1391="",NOT(ISNUMBER($T1391))),"Pending",IF(TODAY()&gt;$T1391,"OVERDUE","Due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IF($Q1392&lt;&gt;"Yes","",IF(COUNTIFS(nrES_PID,$D1392,nrES_Code,$F1392,nrES_Att,2)&gt;0,"Retested",IF(OR($T1392="",NOT(ISNUMBER($T1392))),"Pending",IF(TODAY()&gt;$T1392,"OVERDUE","Due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IF($Q1393&lt;&gt;"Yes","",IF(COUNTIFS(nrES_PID,$D1393,nrES_Code,$F1393,nrES_Att,2)&gt;0,"Retested",IF(OR($T1393="",NOT(ISNUMBER($T1393))),"Pending",IF(TODAY()&gt;$T1393,"OVERDUE","Due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IF($Q1394&lt;&gt;"Yes","",IF(COUNTIFS(nrES_PID,$D1394,nrES_Code,$F1394,nrES_Att,2)&gt;0,"Retested",IF(OR($T1394="",NOT(ISNUMBER($T1394))),"Pending",IF(TODAY()&gt;$T1394,"OVERDUE","Due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IF($Q1395&lt;&gt;"Yes","",IF(COUNTIFS(nrES_PID,$D1395,nrES_Code,$F1395,nrES_Att,2)&gt;0,"Retested",IF(OR($T1395="",NOT(ISNUMBER($T1395))),"Pending",IF(TODAY()&gt;$T1395,"OVERDUE","Due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IF($Q1396&lt;&gt;"Yes","",IF(COUNTIFS(nrES_PID,$D1396,nrES_Code,$F1396,nrES_Att,2)&gt;0,"Retested",IF(OR($T1396="",NOT(ISNUMBER($T1396))),"Pending",IF(TODAY()&gt;$T1396,"OVERDUE","Due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IF($Q1397&lt;&gt;"Yes","",IF(COUNTIFS(nrES_PID,$D1397,nrES_Code,$F1397,nrES_Att,2)&gt;0,"Retested",IF(OR($T1397="",NOT(ISNUMBER($T1397))),"Pending",IF(TODAY()&gt;$T1397,"OVERDUE","Due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IF($Q1398&lt;&gt;"Yes","",IF(COUNTIFS(nrES_PID,$D1398,nrES_Code,$F1398,nrES_Att,2)&gt;0,"Retested",IF(OR($T1398="",NOT(ISNUMBER($T1398))),"Pending",IF(TODAY()&gt;$T1398,"OVERDUE","Due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IF($Q1399&lt;&gt;"Yes","",IF(COUNTIFS(nrES_PID,$D1399,nrES_Code,$F1399,nrES_Att,2)&gt;0,"Retested",IF(OR($T1399="",NOT(ISNUMBER($T1399))),"Pending",IF(TODAY()&gt;$T1399,"OVERDUE","Due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IF($Q1400&lt;&gt;"Yes","",IF(COUNTIFS(nrES_PID,$D1400,nrES_Code,$F1400,nrES_Att,2)&gt;0,"Retested",IF(OR($T1400="",NOT(ISNUMBER($T1400))),"Pending",IF(TODAY()&gt;$T1400,"OVERDUE","Due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IF($Q1401&lt;&gt;"Yes","",IF(COUNTIFS(nrES_PID,$D1401,nrES_Code,$F1401,nrES_Att,2)&gt;0,"Retested",IF(OR($T1401="",NOT(ISNUMBER($T1401))),"Pending",IF(TODAY()&gt;$T1401,"OVERDUE","Due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IF($Q1402&lt;&gt;"Yes","",IF(COUNTIFS(nrES_PID,$D1402,nrES_Code,$F1402,nrES_Att,2)&gt;0,"Retested",IF(OR($T1402="",NOT(ISNUMBER($T1402))),"Pending",IF(TODAY()&gt;$T1402,"OVERDUE","Due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IF($Q1403&lt;&gt;"Yes","",IF(COUNTIFS(nrES_PID,$D1403,nrES_Code,$F1403,nrES_Att,2)&gt;0,"Retested",IF(OR($T1403="",NOT(ISNUMBER($T1403))),"Pending",IF(TODAY()&gt;$T1403,"OVERDUE","Due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IF($Q1404&lt;&gt;"Yes","",IF(COUNTIFS(nrES_PID,$D1404,nrES_Code,$F1404,nrES_Att,2)&gt;0,"Retested",IF(OR($T1404="",NOT(ISNUMBER($T1404))),"Pending",IF(TODAY()&gt;$T1404,"OVERDUE","Due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IF($Q1405&lt;&gt;"Yes","",IF(COUNTIFS(nrES_PID,$D1405,nrES_Code,$F1405,nrES_Att,2)&gt;0,"Retested",IF(OR($T1405="",NOT(ISNUMBER($T1405))),"Pending",IF(TODAY()&gt;$T1405,"OVERDUE","Due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IF($Q1406&lt;&gt;"Yes","",IF(COUNTIFS(nrES_PID,$D1406,nrES_Code,$F1406,nrES_Att,2)&gt;0,"Retested",IF(OR($T1406="",NOT(ISNUMBER($T1406))),"Pending",IF(TODAY()&gt;$T1406,"OVERDUE","Due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IF($Q1407&lt;&gt;"Yes","",IF(COUNTIFS(nrES_PID,$D1407,nrES_Code,$F1407,nrES_Att,2)&gt;0,"Retested",IF(OR($T1407="",NOT(ISNUMBER($T1407))),"Pending",IF(TODAY()&gt;$T1407,"OVERDUE","Due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IF($Q1408&lt;&gt;"Yes","",IF(COUNTIFS(nrES_PID,$D1408,nrES_Code,$F1408,nrES_Att,2)&gt;0,"Retested",IF(OR($T1408="",NOT(ISNUMBER($T1408))),"Pending",IF(TODAY()&gt;$T1408,"OVERDUE","Due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IF($Q1409&lt;&gt;"Yes","",IF(COUNTIFS(nrES_PID,$D1409,nrES_Code,$F1409,nrES_Att,2)&gt;0,"Retested",IF(OR($T1409="",NOT(ISNUMBER($T1409))),"Pending",IF(TODAY()&gt;$T1409,"OVERDUE","Due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IF($Q1410&lt;&gt;"Yes","",IF(COUNTIFS(nrES_PID,$D1410,nrES_Code,$F1410,nrES_Att,2)&gt;0,"Retested",IF(OR($T1410="",NOT(ISNUMBER($T1410))),"Pending",IF(TODAY()&gt;$T1410,"OVERDUE","Due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IF($Q1411&lt;&gt;"Yes","",IF(COUNTIFS(nrES_PID,$D1411,nrES_Code,$F1411,nrES_Att,2)&gt;0,"Retested",IF(OR($T1411="",NOT(ISNUMBER($T1411))),"Pending",IF(TODAY()&gt;$T1411,"OVERDUE","Due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IF($Q1412&lt;&gt;"Yes","",IF(COUNTIFS(nrES_PID,$D1412,nrES_Code,$F1412,nrES_Att,2)&gt;0,"Retested",IF(OR($T1412="",NOT(ISNUMBER($T1412))),"Pending",IF(TODAY()&gt;$T1412,"OVERDUE","Due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IF($Q1413&lt;&gt;"Yes","",IF(COUNTIFS(nrES_PID,$D1413,nrES_Code,$F1413,nrES_Att,2)&gt;0,"Retested",IF(OR($T1413="",NOT(ISNUMBER($T1413))),"Pending",IF(TODAY()&gt;$T1413,"OVERDUE","Due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IF($Q1414&lt;&gt;"Yes","",IF(COUNTIFS(nrES_PID,$D1414,nrES_Code,$F1414,nrES_Att,2)&gt;0,"Retested",IF(OR($T1414="",NOT(ISNUMBER($T1414))),"Pending",IF(TODAY()&gt;$T1414,"OVERDUE","Due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IF($Q1415&lt;&gt;"Yes","",IF(COUNTIFS(nrES_PID,$D1415,nrES_Code,$F1415,nrES_Att,2)&gt;0,"Retested",IF(OR($T1415="",NOT(ISNUMBER($T1415))),"Pending",IF(TODAY()&gt;$T1415,"OVERDUE","Due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IF($Q1416&lt;&gt;"Yes","",IF(COUNTIFS(nrES_PID,$D1416,nrES_Code,$F1416,nrES_Att,2)&gt;0,"Retested",IF(OR($T1416="",NOT(ISNUMBER($T1416))),"Pending",IF(TODAY()&gt;$T1416,"OVERDUE","Due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IF($Q1417&lt;&gt;"Yes","",IF(COUNTIFS(nrES_PID,$D1417,nrES_Code,$F1417,nrES_Att,2)&gt;0,"Retested",IF(OR($T1417="",NOT(ISNUMBER($T1417))),"Pending",IF(TODAY()&gt;$T1417,"OVERDUE","Due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IF($Q1418&lt;&gt;"Yes","",IF(COUNTIFS(nrES_PID,$D1418,nrES_Code,$F1418,nrES_Att,2)&gt;0,"Retested",IF(OR($T1418="",NOT(ISNUMBER($T1418))),"Pending",IF(TODAY()&gt;$T1418,"OVERDUE","Due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IF($Q1419&lt;&gt;"Yes","",IF(COUNTIFS(nrES_PID,$D1419,nrES_Code,$F1419,nrES_Att,2)&gt;0,"Retested",IF(OR($T1419="",NOT(ISNUMBER($T1419))),"Pending",IF(TODAY()&gt;$T1419,"OVERDUE","Due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IF($Q1420&lt;&gt;"Yes","",IF(COUNTIFS(nrES_PID,$D1420,nrES_Code,$F1420,nrES_Att,2)&gt;0,"Retested",IF(OR($T1420="",NOT(ISNUMBER($T1420))),"Pending",IF(TODAY()&gt;$T1420,"OVERDUE","Due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IF($Q1421&lt;&gt;"Yes","",IF(COUNTIFS(nrES_PID,$D1421,nrES_Code,$F1421,nrES_Att,2)&gt;0,"Retested",IF(OR($T1421="",NOT(ISNUMBER($T1421))),"Pending",IF(TODAY()&gt;$T1421,"OVERDUE","Due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IF($Q1422&lt;&gt;"Yes","",IF(COUNTIFS(nrES_PID,$D1422,nrES_Code,$F1422,nrES_Att,2)&gt;0,"Retested",IF(OR($T1422="",NOT(ISNUMBER($T1422))),"Pending",IF(TODAY()&gt;$T1422,"OVERDUE","Due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IF($Q1423&lt;&gt;"Yes","",IF(COUNTIFS(nrES_PID,$D1423,nrES_Code,$F1423,nrES_Att,2)&gt;0,"Retested",IF(OR($T1423="",NOT(ISNUMBER($T1423))),"Pending",IF(TODAY()&gt;$T1423,"OVERDUE","Due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IF($Q1424&lt;&gt;"Yes","",IF(COUNTIFS(nrES_PID,$D1424,nrES_Code,$F1424,nrES_Att,2)&gt;0,"Retested",IF(OR($T1424="",NOT(ISNUMBER($T1424))),"Pending",IF(TODAY()&gt;$T1424,"OVERDUE","Due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IF($Q1425&lt;&gt;"Yes","",IF(COUNTIFS(nrES_PID,$D1425,nrES_Code,$F1425,nrES_Att,2)&gt;0,"Retested",IF(OR($T1425="",NOT(ISNUMBER($T1425))),"Pending",IF(TODAY()&gt;$T1425,"OVERDUE","Due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IF($Q1426&lt;&gt;"Yes","",IF(COUNTIFS(nrES_PID,$D1426,nrES_Code,$F1426,nrES_Att,2)&gt;0,"Retested",IF(OR($T1426="",NOT(ISNUMBER($T1426))),"Pending",IF(TODAY()&gt;$T1426,"OVERDUE","Due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IF($Q1427&lt;&gt;"Yes","",IF(COUNTIFS(nrES_PID,$D1427,nrES_Code,$F1427,nrES_Att,2)&gt;0,"Retested",IF(OR($T1427="",NOT(ISNUMBER($T1427))),"Pending",IF(TODAY()&gt;$T1427,"OVERDUE","Due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IF($Q1428&lt;&gt;"Yes","",IF(COUNTIFS(nrES_PID,$D1428,nrES_Code,$F1428,nrES_Att,2)&gt;0,"Retested",IF(OR($T1428="",NOT(ISNUMBER($T1428))),"Pending",IF(TODAY()&gt;$T1428,"OVERDUE","Due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IF($Q1429&lt;&gt;"Yes","",IF(COUNTIFS(nrES_PID,$D1429,nrES_Code,$F1429,nrES_Att,2)&gt;0,"Retested",IF(OR($T1429="",NOT(ISNUMBER($T1429))),"Pending",IF(TODAY()&gt;$T1429,"OVERDUE","Due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IF($Q1430&lt;&gt;"Yes","",IF(COUNTIFS(nrES_PID,$D1430,nrES_Code,$F1430,nrES_Att,2)&gt;0,"Retested",IF(OR($T1430="",NOT(ISNUMBER($T1430))),"Pending",IF(TODAY()&gt;$T1430,"OVERDUE","Due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IF($Q1431&lt;&gt;"Yes","",IF(COUNTIFS(nrES_PID,$D1431,nrES_Code,$F1431,nrES_Att,2)&gt;0,"Retested",IF(OR($T1431="",NOT(ISNUMBER($T1431))),"Pending",IF(TODAY()&gt;$T1431,"OVERDUE","Due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IF($Q1432&lt;&gt;"Yes","",IF(COUNTIFS(nrES_PID,$D1432,nrES_Code,$F1432,nrES_Att,2)&gt;0,"Retested",IF(OR($T1432="",NOT(ISNUMBER($T1432))),"Pending",IF(TODAY()&gt;$T1432,"OVERDUE","Due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IF($Q1433&lt;&gt;"Yes","",IF(COUNTIFS(nrES_PID,$D1433,nrES_Code,$F1433,nrES_Att,2)&gt;0,"Retested",IF(OR($T1433="",NOT(ISNUMBER($T1433))),"Pending",IF(TODAY()&gt;$T1433,"OVERDUE","Due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IF($Q1434&lt;&gt;"Yes","",IF(COUNTIFS(nrES_PID,$D1434,nrES_Code,$F1434,nrES_Att,2)&gt;0,"Retested",IF(OR($T1434="",NOT(ISNUMBER($T1434))),"Pending",IF(TODAY()&gt;$T1434,"OVERDUE","Due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IF($Q1435&lt;&gt;"Yes","",IF(COUNTIFS(nrES_PID,$D1435,nrES_Code,$F1435,nrES_Att,2)&gt;0,"Retested",IF(OR($T1435="",NOT(ISNUMBER($T1435))),"Pending",IF(TODAY()&gt;$T1435,"OVERDUE","Due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IF($Q1436&lt;&gt;"Yes","",IF(COUNTIFS(nrES_PID,$D1436,nrES_Code,$F1436,nrES_Att,2)&gt;0,"Retested",IF(OR($T1436="",NOT(ISNUMBER($T1436))),"Pending",IF(TODAY()&gt;$T1436,"OVERDUE","Due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IF($Q1437&lt;&gt;"Yes","",IF(COUNTIFS(nrES_PID,$D1437,nrES_Code,$F1437,nrES_Att,2)&gt;0,"Retested",IF(OR($T1437="",NOT(ISNUMBER($T1437))),"Pending",IF(TODAY()&gt;$T1437,"OVERDUE","Due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IF($Q1438&lt;&gt;"Yes","",IF(COUNTIFS(nrES_PID,$D1438,nrES_Code,$F1438,nrES_Att,2)&gt;0,"Retested",IF(OR($T1438="",NOT(ISNUMBER($T1438))),"Pending",IF(TODAY()&gt;$T1438,"OVERDUE","Due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IF($Q1439&lt;&gt;"Yes","",IF(COUNTIFS(nrES_PID,$D1439,nrES_Code,$F1439,nrES_Att,2)&gt;0,"Retested",IF(OR($T1439="",NOT(ISNUMBER($T1439))),"Pending",IF(TODAY()&gt;$T1439,"OVERDUE","Due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IF($Q1440&lt;&gt;"Yes","",IF(COUNTIFS(nrES_PID,$D1440,nrES_Code,$F1440,nrES_Att,2)&gt;0,"Retested",IF(OR($T1440="",NOT(ISNUMBER($T1440))),"Pending",IF(TODAY()&gt;$T1440,"OVERDUE","Due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IF($Q1441&lt;&gt;"Yes","",IF(COUNTIFS(nrES_PID,$D1441,nrES_Code,$F1441,nrES_Att,2)&gt;0,"Retested",IF(OR($T1441="",NOT(ISNUMBER($T1441))),"Pending",IF(TODAY()&gt;$T1441,"OVERDUE","Due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IF($Q1442&lt;&gt;"Yes","",IF(COUNTIFS(nrES_PID,$D1442,nrES_Code,$F1442,nrES_Att,2)&gt;0,"Retested",IF(OR($T1442="",NOT(ISNUMBER($T1442))),"Pending",IF(TODAY()&gt;$T1442,"OVERDUE","Due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IF($Q1443&lt;&gt;"Yes","",IF(COUNTIFS(nrES_PID,$D1443,nrES_Code,$F1443,nrES_Att,2)&gt;0,"Retested",IF(OR($T1443="",NOT(ISNUMBER($T1443))),"Pending",IF(TODAY()&gt;$T1443,"OVERDUE","Due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IF($Q1444&lt;&gt;"Yes","",IF(COUNTIFS(nrES_PID,$D1444,nrES_Code,$F1444,nrES_Att,2)&gt;0,"Retested",IF(OR($T1444="",NOT(ISNUMBER($T1444))),"Pending",IF(TODAY()&gt;$T1444,"OVERDUE","Due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IF($Q1445&lt;&gt;"Yes","",IF(COUNTIFS(nrES_PID,$D1445,nrES_Code,$F1445,nrES_Att,2)&gt;0,"Retested",IF(OR($T1445="",NOT(ISNUMBER($T1445))),"Pending",IF(TODAY()&gt;$T1445,"OVERDUE","Due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IF($Q1446&lt;&gt;"Yes","",IF(COUNTIFS(nrES_PID,$D1446,nrES_Code,$F1446,nrES_Att,2)&gt;0,"Retested",IF(OR($T1446="",NOT(ISNUMBER($T1446))),"Pending",IF(TODAY()&gt;$T1446,"OVERDUE","Due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IF($Q1447&lt;&gt;"Yes","",IF(COUNTIFS(nrES_PID,$D1447,nrES_Code,$F1447,nrES_Att,2)&gt;0,"Retested",IF(OR($T1447="",NOT(ISNUMBER($T1447))),"Pending",IF(TODAY()&gt;$T1447,"OVERDUE","Due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IF($Q1448&lt;&gt;"Yes","",IF(COUNTIFS(nrES_PID,$D1448,nrES_Code,$F1448,nrES_Att,2)&gt;0,"Retested",IF(OR($T1448="",NOT(ISNUMBER($T1448))),"Pending",IF(TODAY()&gt;$T1448,"OVERDUE","Due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IF($Q1449&lt;&gt;"Yes","",IF(COUNTIFS(nrES_PID,$D1449,nrES_Code,$F1449,nrES_Att,2)&gt;0,"Retested",IF(OR($T1449="",NOT(ISNUMBER($T1449))),"Pending",IF(TODAY()&gt;$T1449,"OVERDUE","Due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IF($Q1450&lt;&gt;"Yes","",IF(COUNTIFS(nrES_PID,$D1450,nrES_Code,$F1450,nrES_Att,2)&gt;0,"Retested",IF(OR($T1450="",NOT(ISNUMBER($T1450))),"Pending",IF(TODAY()&gt;$T1450,"OVERDUE","Due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IF($Q1451&lt;&gt;"Yes","",IF(COUNTIFS(nrES_PID,$D1451,nrES_Code,$F1451,nrES_Att,2)&gt;0,"Retested",IF(OR($T1451="",NOT(ISNUMBER($T1451))),"Pending",IF(TODAY()&gt;$T1451,"OVERDUE","Due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IF($Q1452&lt;&gt;"Yes","",IF(COUNTIFS(nrES_PID,$D1452,nrES_Code,$F1452,nrES_Att,2)&gt;0,"Retested",IF(OR($T1452="",NOT(ISNUMBER($T1452))),"Pending",IF(TODAY()&gt;$T1452,"OVERDUE","Due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IF($Q1453&lt;&gt;"Yes","",IF(COUNTIFS(nrES_PID,$D1453,nrES_Code,$F1453,nrES_Att,2)&gt;0,"Retested",IF(OR($T1453="",NOT(ISNUMBER($T1453))),"Pending",IF(TODAY()&gt;$T1453,"OVERDUE","Due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IF($Q1454&lt;&gt;"Yes","",IF(COUNTIFS(nrES_PID,$D1454,nrES_Code,$F1454,nrES_Att,2)&gt;0,"Retested",IF(OR($T1454="",NOT(ISNUMBER($T1454))),"Pending",IF(TODAY()&gt;$T1454,"OVERDUE","Due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IF($Q1455&lt;&gt;"Yes","",IF(COUNTIFS(nrES_PID,$D1455,nrES_Code,$F1455,nrES_Att,2)&gt;0,"Retested",IF(OR($T1455="",NOT(ISNUMBER($T1455))),"Pending",IF(TODAY()&gt;$T1455,"OVERDUE","Due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IF($Q1456&lt;&gt;"Yes","",IF(COUNTIFS(nrES_PID,$D1456,nrES_Code,$F1456,nrES_Att,2)&gt;0,"Retested",IF(OR($T1456="",NOT(ISNUMBER($T1456))),"Pending",IF(TODAY()&gt;$T1456,"OVERDUE","Due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IF($Q1457&lt;&gt;"Yes","",IF(COUNTIFS(nrES_PID,$D1457,nrES_Code,$F1457,nrES_Att,2)&gt;0,"Retested",IF(OR($T1457="",NOT(ISNUMBER($T1457))),"Pending",IF(TODAY()&gt;$T1457,"OVERDUE","Due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IF($Q1458&lt;&gt;"Yes","",IF(COUNTIFS(nrES_PID,$D1458,nrES_Code,$F1458,nrES_Att,2)&gt;0,"Retested",IF(OR($T1458="",NOT(ISNUMBER($T1458))),"Pending",IF(TODAY()&gt;$T1458,"OVERDUE","Due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IF($Q1459&lt;&gt;"Yes","",IF(COUNTIFS(nrES_PID,$D1459,nrES_Code,$F1459,nrES_Att,2)&gt;0,"Retested",IF(OR($T1459="",NOT(ISNUMBER($T1459))),"Pending",IF(TODAY()&gt;$T1459,"OVERDUE","Due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IF($Q1460&lt;&gt;"Yes","",IF(COUNTIFS(nrES_PID,$D1460,nrES_Code,$F1460,nrES_Att,2)&gt;0,"Retested",IF(OR($T1460="",NOT(ISNUMBER($T1460))),"Pending",IF(TODAY()&gt;$T1460,"OVERDUE","Due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IF($Q1461&lt;&gt;"Yes","",IF(COUNTIFS(nrES_PID,$D1461,nrES_Code,$F1461,nrES_Att,2)&gt;0,"Retested",IF(OR($T1461="",NOT(ISNUMBER($T1461))),"Pending",IF(TODAY()&gt;$T1461,"OVERDUE","Due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IF($Q1462&lt;&gt;"Yes","",IF(COUNTIFS(nrES_PID,$D1462,nrES_Code,$F1462,nrES_Att,2)&gt;0,"Retested",IF(OR($T1462="",NOT(ISNUMBER($T1462))),"Pending",IF(TODAY()&gt;$T1462,"OVERDUE","Due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IF($Q1463&lt;&gt;"Yes","",IF(COUNTIFS(nrES_PID,$D1463,nrES_Code,$F1463,nrES_Att,2)&gt;0,"Retested",IF(OR($T1463="",NOT(ISNUMBER($T1463))),"Pending",IF(TODAY()&gt;$T1463,"OVERDUE","Due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IF($Q1464&lt;&gt;"Yes","",IF(COUNTIFS(nrES_PID,$D1464,nrES_Code,$F1464,nrES_Att,2)&gt;0,"Retested",IF(OR($T1464="",NOT(ISNUMBER($T1464))),"Pending",IF(TODAY()&gt;$T1464,"OVERDUE","Due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IF($Q1465&lt;&gt;"Yes","",IF(COUNTIFS(nrES_PID,$D1465,nrES_Code,$F1465,nrES_Att,2)&gt;0,"Retested",IF(OR($T1465="",NOT(ISNUMBER($T1465))),"Pending",IF(TODAY()&gt;$T1465,"OVERDUE","Due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IF($Q1466&lt;&gt;"Yes","",IF(COUNTIFS(nrES_PID,$D1466,nrES_Code,$F1466,nrES_Att,2)&gt;0,"Retested",IF(OR($T1466="",NOT(ISNUMBER($T1466))),"Pending",IF(TODAY()&gt;$T1466,"OVERDUE","Due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IF($Q1467&lt;&gt;"Yes","",IF(COUNTIFS(nrES_PID,$D1467,nrES_Code,$F1467,nrES_Att,2)&gt;0,"Retested",IF(OR($T1467="",NOT(ISNUMBER($T1467))),"Pending",IF(TODAY()&gt;$T1467,"OVERDUE","Due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IF($Q1468&lt;&gt;"Yes","",IF(COUNTIFS(nrES_PID,$D1468,nrES_Code,$F1468,nrES_Att,2)&gt;0,"Retested",IF(OR($T1468="",NOT(ISNUMBER($T1468))),"Pending",IF(TODAY()&gt;$T1468,"OVERDUE","Due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IF($Q1469&lt;&gt;"Yes","",IF(COUNTIFS(nrES_PID,$D1469,nrES_Code,$F1469,nrES_Att,2)&gt;0,"Retested",IF(OR($T1469="",NOT(ISNUMBER($T1469))),"Pending",IF(TODAY()&gt;$T1469,"OVERDUE","Due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IF($Q1470&lt;&gt;"Yes","",IF(COUNTIFS(nrES_PID,$D1470,nrES_Code,$F1470,nrES_Att,2)&gt;0,"Retested",IF(OR($T1470="",NOT(ISNUMBER($T1470))),"Pending",IF(TODAY()&gt;$T1470,"OVERDUE","Due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IF($Q1471&lt;&gt;"Yes","",IF(COUNTIFS(nrES_PID,$D1471,nrES_Code,$F1471,nrES_Att,2)&gt;0,"Retested",IF(OR($T1471="",NOT(ISNUMBER($T1471))),"Pending",IF(TODAY()&gt;$T1471,"OVERDUE","Due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IF($Q1472&lt;&gt;"Yes","",IF(COUNTIFS(nrES_PID,$D1472,nrES_Code,$F1472,nrES_Att,2)&gt;0,"Retested",IF(OR($T1472="",NOT(ISNUMBER($T1472))),"Pending",IF(TODAY()&gt;$T1472,"OVERDUE","Due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IF($Q1473&lt;&gt;"Yes","",IF(COUNTIFS(nrES_PID,$D1473,nrES_Code,$F1473,nrES_Att,2)&gt;0,"Retested",IF(OR($T1473="",NOT(ISNUMBER($T1473))),"Pending",IF(TODAY()&gt;$T1473,"OVERDUE","Due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IF($Q1474&lt;&gt;"Yes","",IF(COUNTIFS(nrES_PID,$D1474,nrES_Code,$F1474,nrES_Att,2)&gt;0,"Retested",IF(OR($T1474="",NOT(ISNUMBER($T1474))),"Pending",IF(TODAY()&gt;$T1474,"OVERDUE","Due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IF($Q1475&lt;&gt;"Yes","",IF(COUNTIFS(nrES_PID,$D1475,nrES_Code,$F1475,nrES_Att,2)&gt;0,"Retested",IF(OR($T1475="",NOT(ISNUMBER($T1475))),"Pending",IF(TODAY()&gt;$T1475,"OVERDUE","Due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IF($Q1476&lt;&gt;"Yes","",IF(COUNTIFS(nrES_PID,$D1476,nrES_Code,$F1476,nrES_Att,2)&gt;0,"Retested",IF(OR($T1476="",NOT(ISNUMBER($T1476))),"Pending",IF(TODAY()&gt;$T1476,"OVERDUE","Due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IF($Q1477&lt;&gt;"Yes","",IF(COUNTIFS(nrES_PID,$D1477,nrES_Code,$F1477,nrES_Att,2)&gt;0,"Retested",IF(OR($T1477="",NOT(ISNUMBER($T1477))),"Pending",IF(TODAY()&gt;$T1477,"OVERDUE","Due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IF($Q1478&lt;&gt;"Yes","",IF(COUNTIFS(nrES_PID,$D1478,nrES_Code,$F1478,nrES_Att,2)&gt;0,"Retested",IF(OR($T1478="",NOT(ISNUMBER($T1478))),"Pending",IF(TODAY()&gt;$T1478,"OVERDUE","Due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IF($Q1479&lt;&gt;"Yes","",IF(COUNTIFS(nrES_PID,$D1479,nrES_Code,$F1479,nrES_Att,2)&gt;0,"Retested",IF(OR($T1479="",NOT(ISNUMBER($T1479))),"Pending",IF(TODAY()&gt;$T1479,"OVERDUE","Due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IF($Q1480&lt;&gt;"Yes","",IF(COUNTIFS(nrES_PID,$D1480,nrES_Code,$F1480,nrES_Att,2)&gt;0,"Retested",IF(OR($T1480="",NOT(ISNUMBER($T1480))),"Pending",IF(TODAY()&gt;$T1480,"OVERDUE","Due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IF($Q1481&lt;&gt;"Yes","",IF(COUNTIFS(nrES_PID,$D1481,nrES_Code,$F1481,nrES_Att,2)&gt;0,"Retested",IF(OR($T1481="",NOT(ISNUMBER($T1481))),"Pending",IF(TODAY()&gt;$T1481,"OVERDUE","Due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IF($Q1482&lt;&gt;"Yes","",IF(COUNTIFS(nrES_PID,$D1482,nrES_Code,$F1482,nrES_Att,2)&gt;0,"Retested",IF(OR($T1482="",NOT(ISNUMBER($T1482))),"Pending",IF(TODAY()&gt;$T1482,"OVERDUE","Due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IF($Q1483&lt;&gt;"Yes","",IF(COUNTIFS(nrES_PID,$D1483,nrES_Code,$F1483,nrES_Att,2)&gt;0,"Retested",IF(OR($T1483="",NOT(ISNUMBER($T1483))),"Pending",IF(TODAY()&gt;$T1483,"OVERDUE","Due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IF($Q1484&lt;&gt;"Yes","",IF(COUNTIFS(nrES_PID,$D1484,nrES_Code,$F1484,nrES_Att,2)&gt;0,"Retested",IF(OR($T1484="",NOT(ISNUMBER($T1484))),"Pending",IF(TODAY()&gt;$T1484,"OVERDUE","Due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IF($Q1485&lt;&gt;"Yes","",IF(COUNTIFS(nrES_PID,$D1485,nrES_Code,$F1485,nrES_Att,2)&gt;0,"Retested",IF(OR($T1485="",NOT(ISNUMBER($T1485))),"Pending",IF(TODAY()&gt;$T1485,"OVERDUE","Due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IF($Q1486&lt;&gt;"Yes","",IF(COUNTIFS(nrES_PID,$D1486,nrES_Code,$F1486,nrES_Att,2)&gt;0,"Retested",IF(OR($T1486="",NOT(ISNUMBER($T1486))),"Pending",IF(TODAY()&gt;$T1486,"OVERDUE","Due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IF($Q1487&lt;&gt;"Yes","",IF(COUNTIFS(nrES_PID,$D1487,nrES_Code,$F1487,nrES_Att,2)&gt;0,"Retested",IF(OR($T1487="",NOT(ISNUMBER($T1487))),"Pending",IF(TODAY()&gt;$T1487,"OVERDUE","Due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IF($Q1488&lt;&gt;"Yes","",IF(COUNTIFS(nrES_PID,$D1488,nrES_Code,$F1488,nrES_Att,2)&gt;0,"Retested",IF(OR($T1488="",NOT(ISNUMBER($T1488))),"Pending",IF(TODAY()&gt;$T1488,"OVERDUE","Due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IF($Q1489&lt;&gt;"Yes","",IF(COUNTIFS(nrES_PID,$D1489,nrES_Code,$F1489,nrES_Att,2)&gt;0,"Retested",IF(OR($T1489="",NOT(ISNUMBER($T1489))),"Pending",IF(TODAY()&gt;$T1489,"OVERDUE","Due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IF($Q1490&lt;&gt;"Yes","",IF(COUNTIFS(nrES_PID,$D1490,nrES_Code,$F1490,nrES_Att,2)&gt;0,"Retested",IF(OR($T1490="",NOT(ISNUMBER($T1490))),"Pending",IF(TODAY()&gt;$T1490,"OVERDUE","Due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IF($Q1491&lt;&gt;"Yes","",IF(COUNTIFS(nrES_PID,$D1491,nrES_Code,$F1491,nrES_Att,2)&gt;0,"Retested",IF(OR($T1491="",NOT(ISNUMBER($T1491))),"Pending",IF(TODAY()&gt;$T1491,"OVERDUE","Due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IF($Q1492&lt;&gt;"Yes","",IF(COUNTIFS(nrES_PID,$D1492,nrES_Code,$F1492,nrES_Att,2)&gt;0,"Retested",IF(OR($T1492="",NOT(ISNUMBER($T1492))),"Pending",IF(TODAY()&gt;$T1492,"OVERDUE","Due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IF($Q1493&lt;&gt;"Yes","",IF(COUNTIFS(nrES_PID,$D1493,nrES_Code,$F1493,nrES_Att,2)&gt;0,"Retested",IF(OR($T1493="",NOT(ISNUMBER($T1493))),"Pending",IF(TODAY()&gt;$T1493,"OVERDUE","Due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IF($Q1494&lt;&gt;"Yes","",IF(COUNTIFS(nrES_PID,$D1494,nrES_Code,$F1494,nrES_Att,2)&gt;0,"Retested",IF(OR($T1494="",NOT(ISNUMBER($T1494))),"Pending",IF(TODAY()&gt;$T1494,"OVERDUE","Due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IF($Q1495&lt;&gt;"Yes","",IF(COUNTIFS(nrES_PID,$D1495,nrES_Code,$F1495,nrES_Att,2)&gt;0,"Retested",IF(OR($T1495="",NOT(ISNUMBER($T1495))),"Pending",IF(TODAY()&gt;$T1495,"OVERDUE","Due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IF($Q1496&lt;&gt;"Yes","",IF(COUNTIFS(nrES_PID,$D1496,nrES_Code,$F1496,nrES_Att,2)&gt;0,"Retested",IF(OR($T1496="",NOT(ISNUMBER($T1496))),"Pending",IF(TODAY()&gt;$T1496,"OVERDUE","Due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IF($Q1497&lt;&gt;"Yes","",IF(COUNTIFS(nrES_PID,$D1497,nrES_Code,$F1497,nrES_Att,2)&gt;0,"Retested",IF(OR($T1497="",NOT(ISNUMBER($T1497))),"Pending",IF(TODAY()&gt;$T1497,"OVERDUE","Due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IF($Q1498&lt;&gt;"Yes","",IF(COUNTIFS(nrES_PID,$D1498,nrES_Code,$F1498,nrES_Att,2)&gt;0,"Retested",IF(OR($T1498="",NOT(ISNUMBER($T1498))),"Pending",IF(TODAY()&gt;$T1498,"OVERDUE","Due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IF($Q1499&lt;&gt;"Yes","",IF(COUNTIFS(nrES_PID,$D1499,nrES_Code,$F1499,nrES_Att,2)&gt;0,"Retested",IF(OR($T1499="",NOT(ISNUMBER($T1499))),"Pending",IF(TODAY()&gt;$T1499,"OVERDUE","Due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IF($Q1500&lt;&gt;"Yes","",IF(COUNTIFS(nrES_PID,$D1500,nrES_Code,$F1500,nrES_Att,2)&gt;0,"Retested",IF(OR($T1500="",NOT(ISNUMBER($T1500))),"Pending",IF(TODAY()&gt;$T1500,"OVERDUE","Due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IF($Q1501&lt;&gt;"Yes","",IF(COUNTIFS(nrES_PID,$D1501,nrES_Code,$F1501,nrES_Att,2)&gt;0,"Retested",IF(OR($T1501="",NOT(ISNUMBER($T1501))),"Pending",IF(TODAY()&gt;$T1501,"OVERDUE","Due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IF($Q1502&lt;&gt;"Yes","",IF(COUNTIFS(nrES_PID,$D1502,nrES_Code,$F1502,nrES_Att,2)&gt;0,"Retested",IF(OR($T1502="",NOT(ISNUMBER($T1502))),"Pending",IF(TODAY()&gt;$T1502,"OVERDUE","Due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IF($Q1503&lt;&gt;"Yes","",IF(COUNTIFS(nrES_PID,$D1503,nrES_Code,$F1503,nrES_Att,2)&gt;0,"Retested",IF(OR($T1503="",NOT(ISNUMBER($T1503))),"Pending",IF(TODAY()&gt;$T1503,"OVERDUE","Due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IF($Q1504&lt;&gt;"Yes","",IF(COUNTIFS(nrES_PID,$D1504,nrES_Code,$F1504,nrES_Att,2)&gt;0,"Retested",IF(OR($T1504="",NOT(ISNUMBER($T1504))),"Pending",IF(TODAY()&gt;$T1504,"OVERDUE","Due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IF($Q1505&lt;&gt;"Yes","",IF(COUNTIFS(nrES_PID,$D1505,nrES_Code,$F1505,nrES_Att,2)&gt;0,"Retested",IF(OR($T1505="",NOT(ISNUMBER($T1505))),"Pending",IF(TODAY()&gt;$T1505,"OVERDUE","Due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O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row>
  </sheetData>
  <autoFilter ref="B5:O5"/>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c r="B1" s="10">
        <f>HYPERLINK("#Dashboard!B5","◄ Dashboard")</f>
        <v/>
      </c>
    </row>
    <row r="2"/>
    <row r="3"/>
    <row r="4">
      <c r="B4" s="11" t="inlineStr">
        <is>
          <t>Positive and negative incidents. Negative Major/Critical trigger chain-of-command review (policy 600).</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row>
  </sheetData>
  <autoFilter ref="B5:N5"/>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This is the early-intervention paper trail policy 300.4.B expects — and it feeds the since-last-email agency digest.</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9.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IF(OR($B6="",D$5=""),"",IFERROR(SUMIFS(nrES_Rec,nrES_PID,$B6,nrES_Code,D$5,nrES_Final,"Yes"),""))</f>
        <v/>
      </c>
      <c r="E6" s="17">
        <f>IF(OR($B6="",E$5=""),"",IFERROR(SUMIFS(nrES_Rec,nrES_PID,$B6,nrES_Code,E$5,nrES_Final,"Yes"),""))</f>
        <v/>
      </c>
      <c r="F6" s="17">
        <f>IF(OR($B6="",F$5=""),"",IFERROR(SUMIFS(nrES_Rec,nrES_PID,$B6,nrES_Code,F$5,nrES_Final,"Yes"),""))</f>
        <v/>
      </c>
      <c r="G6" s="17">
        <f>IF(OR($B6="",G$5=""),"",IFERROR(SUMIFS(nrES_Rec,nrES_PID,$B6,nrES_Code,G$5,nrES_Final,"Yes"),""))</f>
        <v/>
      </c>
      <c r="H6" s="17">
        <f>IF(OR($B6="",H$5=""),"",IFERROR(SUMIFS(nrES_Rec,nrES_PID,$B6,nrES_Code,H$5,nrES_Final,"Yes"),""))</f>
        <v/>
      </c>
      <c r="I6" s="17">
        <f>IF(OR($B6="",I$5=""),"",IFERROR(SUMIFS(nrES_Rec,nrES_PID,$B6,nrES_Code,I$5,nrES_Final,"Yes"),""))</f>
        <v/>
      </c>
      <c r="J6" s="17">
        <f>IF(OR($B6="",J$5=""),"",IFERROR(SUMIFS(nrES_Rec,nrES_PID,$B6,nrES_Code,J$5,nrES_Final,"Yes"),""))</f>
        <v/>
      </c>
      <c r="K6" s="17">
        <f>IF(OR($B6="",K$5=""),"",IFERROR(SUMIFS(nrES_Rec,nrES_PID,$B6,nrES_Code,K$5,nrES_Final,"Yes"),""))</f>
        <v/>
      </c>
      <c r="L6" s="17">
        <f>IF(OR($B6="",L$5=""),"",IFERROR(SUMIFS(nrES_Rec,nrES_PID,$B6,nrES_Code,L$5,nrES_Final,"Yes"),""))</f>
        <v/>
      </c>
      <c r="M6" s="17">
        <f>IF(OR($B6="",M$5=""),"",IFERROR(SUMIFS(nrES_Rec,nrES_PID,$B6,nrES_Code,M$5,nrES_Final,"Yes"),""))</f>
        <v/>
      </c>
      <c r="N6" s="17">
        <f>IF(OR($B6="",N$5=""),"",IFERROR(SUMIFS(nrES_Rec,nrES_PID,$B6,nrES_Code,N$5,nrES_Final,"Yes"),""))</f>
        <v/>
      </c>
      <c r="O6" s="17">
        <f>IF(OR($B6="",O$5=""),"",IFERROR(SUMIFS(nrES_Rec,nrES_PID,$B6,nrES_Code,O$5,nrES_Final,"Yes"),""))</f>
        <v/>
      </c>
      <c r="P6" s="17">
        <f>IF(OR($B6="",P$5=""),"",IFERROR(SUMIFS(nrES_Rec,nrES_PID,$B6,nrES_Code,P$5,nrES_Final,"Yes"),""))</f>
        <v/>
      </c>
      <c r="Q6" s="17">
        <f>IF(OR($B6="",Q$5=""),"",IFERROR(SUMIFS(nrES_Rec,nrES_PID,$B6,nrES_Code,Q$5,nrES_Final,"Yes"),""))</f>
        <v/>
      </c>
      <c r="R6" s="17">
        <f>IF(OR($B6="",R$5=""),"",IFERROR(SUMIFS(nrES_Rec,nrES_PID,$B6,nrES_Code,R$5,nrES_Final,"Yes"),""))</f>
        <v/>
      </c>
      <c r="S6" s="17">
        <f>IF(OR($B6="",S$5=""),"",IFERROR(SUMIFS(nrES_Rec,nrES_PID,$B6,nrES_Code,S$5,nrES_Final,"Yes"),""))</f>
        <v/>
      </c>
      <c r="T6" s="17">
        <f>IF(OR($B6="",T$5=""),"",IFERROR(SUMIFS(nrES_Rec,nrES_PID,$B6,nrES_Code,T$5,nrES_Final,"Yes"),""))</f>
        <v/>
      </c>
      <c r="U6" s="17">
        <f>IF(OR($B6="",U$5=""),"",IFERROR(SUMIFS(nrES_Rec,nrES_PID,$B6,nrES_Code,U$5,nrES_Final,"Yes"),""))</f>
        <v/>
      </c>
      <c r="V6" s="17">
        <f>IF(OR($B6="",V$5=""),"",IFERROR(SUMIFS(nrES_Rec,nrES_PID,$B6,nrES_Code,V$5,nrES_Final,"Yes"),""))</f>
        <v/>
      </c>
      <c r="W6" s="17">
        <f>IF(OR($B6="",W$5=""),"",IFERROR(SUMIFS(nrES_Rec,nrES_PID,$B6,nrES_Code,W$5,nrES_Final,"Yes"),""))</f>
        <v/>
      </c>
      <c r="X6" s="17">
        <f>IF(OR($B6="",X$5=""),"",IFERROR(SUMIFS(nrES_Rec,nrES_PID,$B6,nrES_Code,X$5,nrES_Final,"Yes"),""))</f>
        <v/>
      </c>
      <c r="Y6" s="17">
        <f>IF(OR($B6="",Y$5=""),"",IFERROR(SUMIFS(nrES_Rec,nrES_PID,$B6,nrES_Code,Y$5,nrES_Final,"Yes"),""))</f>
        <v/>
      </c>
      <c r="Z6" s="17">
        <f>IF(OR($B6="",Z$5=""),"",IFERROR(SUMIFS(nrES_Rec,nrES_PID,$B6,nrES_Code,Z$5,nrES_Final,"Yes"),""))</f>
        <v/>
      </c>
      <c r="AA6" s="17">
        <f>IF(OR($B6="",AA$5=""),"",IFERROR(SUMIFS(nrES_Rec,nrES_PID,$B6,nrES_Code,AA$5,nrES_Final,"Yes"),""))</f>
        <v/>
      </c>
      <c r="AB6" s="17">
        <f>IF(OR($B6="",AB$5=""),"",IFERROR(SUMIFS(nrES_Rec,nrES_PID,$B6,nrES_Code,AB$5,nrES_Final,"Yes"),""))</f>
        <v/>
      </c>
      <c r="AC6" s="17">
        <f>IF($B6="","",sysGrades!$M6)</f>
        <v/>
      </c>
      <c r="AD6" s="17">
        <f>IF($B6="","",IFERROR(sysGrades!$U6,""))</f>
        <v/>
      </c>
    </row>
    <row r="7">
      <c r="B7" s="17">
        <f>IF(Cadets!$B7="","",Cadets!$B7)</f>
        <v/>
      </c>
      <c r="C7" s="17">
        <f>IF($B7="","",Cadets!$F7)</f>
        <v/>
      </c>
      <c r="D7" s="17">
        <f>IF(OR($B7="",D$5=""),"",IFERROR(SUMIFS(nrES_Rec,nrES_PID,$B7,nrES_Code,D$5,nrES_Final,"Yes"),""))</f>
        <v/>
      </c>
      <c r="E7" s="17">
        <f>IF(OR($B7="",E$5=""),"",IFERROR(SUMIFS(nrES_Rec,nrES_PID,$B7,nrES_Code,E$5,nrES_Final,"Yes"),""))</f>
        <v/>
      </c>
      <c r="F7" s="17">
        <f>IF(OR($B7="",F$5=""),"",IFERROR(SUMIFS(nrES_Rec,nrES_PID,$B7,nrES_Code,F$5,nrES_Final,"Yes"),""))</f>
        <v/>
      </c>
      <c r="G7" s="17">
        <f>IF(OR($B7="",G$5=""),"",IFERROR(SUMIFS(nrES_Rec,nrES_PID,$B7,nrES_Code,G$5,nrES_Final,"Yes"),""))</f>
        <v/>
      </c>
      <c r="H7" s="17">
        <f>IF(OR($B7="",H$5=""),"",IFERROR(SUMIFS(nrES_Rec,nrES_PID,$B7,nrES_Code,H$5,nrES_Final,"Yes"),""))</f>
        <v/>
      </c>
      <c r="I7" s="17">
        <f>IF(OR($B7="",I$5=""),"",IFERROR(SUMIFS(nrES_Rec,nrES_PID,$B7,nrES_Code,I$5,nrES_Final,"Yes"),""))</f>
        <v/>
      </c>
      <c r="J7" s="17">
        <f>IF(OR($B7="",J$5=""),"",IFERROR(SUMIFS(nrES_Rec,nrES_PID,$B7,nrES_Code,J$5,nrES_Final,"Yes"),""))</f>
        <v/>
      </c>
      <c r="K7" s="17">
        <f>IF(OR($B7="",K$5=""),"",IFERROR(SUMIFS(nrES_Rec,nrES_PID,$B7,nrES_Code,K$5,nrES_Final,"Yes"),""))</f>
        <v/>
      </c>
      <c r="L7" s="17">
        <f>IF(OR($B7="",L$5=""),"",IFERROR(SUMIFS(nrES_Rec,nrES_PID,$B7,nrES_Code,L$5,nrES_Final,"Yes"),""))</f>
        <v/>
      </c>
      <c r="M7" s="17">
        <f>IF(OR($B7="",M$5=""),"",IFERROR(SUMIFS(nrES_Rec,nrES_PID,$B7,nrES_Code,M$5,nrES_Final,"Yes"),""))</f>
        <v/>
      </c>
      <c r="N7" s="17">
        <f>IF(OR($B7="",N$5=""),"",IFERROR(SUMIFS(nrES_Rec,nrES_PID,$B7,nrES_Code,N$5,nrES_Final,"Yes"),""))</f>
        <v/>
      </c>
      <c r="O7" s="17">
        <f>IF(OR($B7="",O$5=""),"",IFERROR(SUMIFS(nrES_Rec,nrES_PID,$B7,nrES_Code,O$5,nrES_Final,"Yes"),""))</f>
        <v/>
      </c>
      <c r="P7" s="17">
        <f>IF(OR($B7="",P$5=""),"",IFERROR(SUMIFS(nrES_Rec,nrES_PID,$B7,nrES_Code,P$5,nrES_Final,"Yes"),""))</f>
        <v/>
      </c>
      <c r="Q7" s="17">
        <f>IF(OR($B7="",Q$5=""),"",IFERROR(SUMIFS(nrES_Rec,nrES_PID,$B7,nrES_Code,Q$5,nrES_Final,"Yes"),""))</f>
        <v/>
      </c>
      <c r="R7" s="17">
        <f>IF(OR($B7="",R$5=""),"",IFERROR(SUMIFS(nrES_Rec,nrES_PID,$B7,nrES_Code,R$5,nrES_Final,"Yes"),""))</f>
        <v/>
      </c>
      <c r="S7" s="17">
        <f>IF(OR($B7="",S$5=""),"",IFERROR(SUMIFS(nrES_Rec,nrES_PID,$B7,nrES_Code,S$5,nrES_Final,"Yes"),""))</f>
        <v/>
      </c>
      <c r="T7" s="17">
        <f>IF(OR($B7="",T$5=""),"",IFERROR(SUMIFS(nrES_Rec,nrES_PID,$B7,nrES_Code,T$5,nrES_Final,"Yes"),""))</f>
        <v/>
      </c>
      <c r="U7" s="17">
        <f>IF(OR($B7="",U$5=""),"",IFERROR(SUMIFS(nrES_Rec,nrES_PID,$B7,nrES_Code,U$5,nrES_Final,"Yes"),""))</f>
        <v/>
      </c>
      <c r="V7" s="17">
        <f>IF(OR($B7="",V$5=""),"",IFERROR(SUMIFS(nrES_Rec,nrES_PID,$B7,nrES_Code,V$5,nrES_Final,"Yes"),""))</f>
        <v/>
      </c>
      <c r="W7" s="17">
        <f>IF(OR($B7="",W$5=""),"",IFERROR(SUMIFS(nrES_Rec,nrES_PID,$B7,nrES_Code,W$5,nrES_Final,"Yes"),""))</f>
        <v/>
      </c>
      <c r="X7" s="17">
        <f>IF(OR($B7="",X$5=""),"",IFERROR(SUMIFS(nrES_Rec,nrES_PID,$B7,nrES_Code,X$5,nrES_Final,"Yes"),""))</f>
        <v/>
      </c>
      <c r="Y7" s="17">
        <f>IF(OR($B7="",Y$5=""),"",IFERROR(SUMIFS(nrES_Rec,nrES_PID,$B7,nrES_Code,Y$5,nrES_Final,"Yes"),""))</f>
        <v/>
      </c>
      <c r="Z7" s="17">
        <f>IF(OR($B7="",Z$5=""),"",IFERROR(SUMIFS(nrES_Rec,nrES_PID,$B7,nrES_Code,Z$5,nrES_Final,"Yes"),""))</f>
        <v/>
      </c>
      <c r="AA7" s="17">
        <f>IF(OR($B7="",AA$5=""),"",IFERROR(SUMIFS(nrES_Rec,nrES_PID,$B7,nrES_Code,AA$5,nrES_Final,"Yes"),""))</f>
        <v/>
      </c>
      <c r="AB7" s="17">
        <f>IF(OR($B7="",AB$5=""),"",IFERROR(SUMIFS(nrES_Rec,nrES_PID,$B7,nrES_Code,AB$5,nrES_Final,"Yes"),""))</f>
        <v/>
      </c>
      <c r="AC7" s="17">
        <f>IF($B7="","",sysGrades!$M7)</f>
        <v/>
      </c>
      <c r="AD7" s="17">
        <f>IF($B7="","",IFERROR(sysGrades!$U7,""))</f>
        <v/>
      </c>
    </row>
    <row r="8">
      <c r="B8" s="17">
        <f>IF(Cadets!$B8="","",Cadets!$B8)</f>
        <v/>
      </c>
      <c r="C8" s="17">
        <f>IF($B8="","",Cadets!$F8)</f>
        <v/>
      </c>
      <c r="D8" s="17">
        <f>IF(OR($B8="",D$5=""),"",IFERROR(SUMIFS(nrES_Rec,nrES_PID,$B8,nrES_Code,D$5,nrES_Final,"Yes"),""))</f>
        <v/>
      </c>
      <c r="E8" s="17">
        <f>IF(OR($B8="",E$5=""),"",IFERROR(SUMIFS(nrES_Rec,nrES_PID,$B8,nrES_Code,E$5,nrES_Final,"Yes"),""))</f>
        <v/>
      </c>
      <c r="F8" s="17">
        <f>IF(OR($B8="",F$5=""),"",IFERROR(SUMIFS(nrES_Rec,nrES_PID,$B8,nrES_Code,F$5,nrES_Final,"Yes"),""))</f>
        <v/>
      </c>
      <c r="G8" s="17">
        <f>IF(OR($B8="",G$5=""),"",IFERROR(SUMIFS(nrES_Rec,nrES_PID,$B8,nrES_Code,G$5,nrES_Final,"Yes"),""))</f>
        <v/>
      </c>
      <c r="H8" s="17">
        <f>IF(OR($B8="",H$5=""),"",IFERROR(SUMIFS(nrES_Rec,nrES_PID,$B8,nrES_Code,H$5,nrES_Final,"Yes"),""))</f>
        <v/>
      </c>
      <c r="I8" s="17">
        <f>IF(OR($B8="",I$5=""),"",IFERROR(SUMIFS(nrES_Rec,nrES_PID,$B8,nrES_Code,I$5,nrES_Final,"Yes"),""))</f>
        <v/>
      </c>
      <c r="J8" s="17">
        <f>IF(OR($B8="",J$5=""),"",IFERROR(SUMIFS(nrES_Rec,nrES_PID,$B8,nrES_Code,J$5,nrES_Final,"Yes"),""))</f>
        <v/>
      </c>
      <c r="K8" s="17">
        <f>IF(OR($B8="",K$5=""),"",IFERROR(SUMIFS(nrES_Rec,nrES_PID,$B8,nrES_Code,K$5,nrES_Final,"Yes"),""))</f>
        <v/>
      </c>
      <c r="L8" s="17">
        <f>IF(OR($B8="",L$5=""),"",IFERROR(SUMIFS(nrES_Rec,nrES_PID,$B8,nrES_Code,L$5,nrES_Final,"Yes"),""))</f>
        <v/>
      </c>
      <c r="M8" s="17">
        <f>IF(OR($B8="",M$5=""),"",IFERROR(SUMIFS(nrES_Rec,nrES_PID,$B8,nrES_Code,M$5,nrES_Final,"Yes"),""))</f>
        <v/>
      </c>
      <c r="N8" s="17">
        <f>IF(OR($B8="",N$5=""),"",IFERROR(SUMIFS(nrES_Rec,nrES_PID,$B8,nrES_Code,N$5,nrES_Final,"Yes"),""))</f>
        <v/>
      </c>
      <c r="O8" s="17">
        <f>IF(OR($B8="",O$5=""),"",IFERROR(SUMIFS(nrES_Rec,nrES_PID,$B8,nrES_Code,O$5,nrES_Final,"Yes"),""))</f>
        <v/>
      </c>
      <c r="P8" s="17">
        <f>IF(OR($B8="",P$5=""),"",IFERROR(SUMIFS(nrES_Rec,nrES_PID,$B8,nrES_Code,P$5,nrES_Final,"Yes"),""))</f>
        <v/>
      </c>
      <c r="Q8" s="17">
        <f>IF(OR($B8="",Q$5=""),"",IFERROR(SUMIFS(nrES_Rec,nrES_PID,$B8,nrES_Code,Q$5,nrES_Final,"Yes"),""))</f>
        <v/>
      </c>
      <c r="R8" s="17">
        <f>IF(OR($B8="",R$5=""),"",IFERROR(SUMIFS(nrES_Rec,nrES_PID,$B8,nrES_Code,R$5,nrES_Final,"Yes"),""))</f>
        <v/>
      </c>
      <c r="S8" s="17">
        <f>IF(OR($B8="",S$5=""),"",IFERROR(SUMIFS(nrES_Rec,nrES_PID,$B8,nrES_Code,S$5,nrES_Final,"Yes"),""))</f>
        <v/>
      </c>
      <c r="T8" s="17">
        <f>IF(OR($B8="",T$5=""),"",IFERROR(SUMIFS(nrES_Rec,nrES_PID,$B8,nrES_Code,T$5,nrES_Final,"Yes"),""))</f>
        <v/>
      </c>
      <c r="U8" s="17">
        <f>IF(OR($B8="",U$5=""),"",IFERROR(SUMIFS(nrES_Rec,nrES_PID,$B8,nrES_Code,U$5,nrES_Final,"Yes"),""))</f>
        <v/>
      </c>
      <c r="V8" s="17">
        <f>IF(OR($B8="",V$5=""),"",IFERROR(SUMIFS(nrES_Rec,nrES_PID,$B8,nrES_Code,V$5,nrES_Final,"Yes"),""))</f>
        <v/>
      </c>
      <c r="W8" s="17">
        <f>IF(OR($B8="",W$5=""),"",IFERROR(SUMIFS(nrES_Rec,nrES_PID,$B8,nrES_Code,W$5,nrES_Final,"Yes"),""))</f>
        <v/>
      </c>
      <c r="X8" s="17">
        <f>IF(OR($B8="",X$5=""),"",IFERROR(SUMIFS(nrES_Rec,nrES_PID,$B8,nrES_Code,X$5,nrES_Final,"Yes"),""))</f>
        <v/>
      </c>
      <c r="Y8" s="17">
        <f>IF(OR($B8="",Y$5=""),"",IFERROR(SUMIFS(nrES_Rec,nrES_PID,$B8,nrES_Code,Y$5,nrES_Final,"Yes"),""))</f>
        <v/>
      </c>
      <c r="Z8" s="17">
        <f>IF(OR($B8="",Z$5=""),"",IFERROR(SUMIFS(nrES_Rec,nrES_PID,$B8,nrES_Code,Z$5,nrES_Final,"Yes"),""))</f>
        <v/>
      </c>
      <c r="AA8" s="17">
        <f>IF(OR($B8="",AA$5=""),"",IFERROR(SUMIFS(nrES_Rec,nrES_PID,$B8,nrES_Code,AA$5,nrES_Final,"Yes"),""))</f>
        <v/>
      </c>
      <c r="AB8" s="17">
        <f>IF(OR($B8="",AB$5=""),"",IFERROR(SUMIFS(nrES_Rec,nrES_PID,$B8,nrES_Code,AB$5,nrES_Final,"Yes"),""))</f>
        <v/>
      </c>
      <c r="AC8" s="17">
        <f>IF($B8="","",sysGrades!$M8)</f>
        <v/>
      </c>
      <c r="AD8" s="17">
        <f>IF($B8="","",IFERROR(sysGrades!$U8,""))</f>
        <v/>
      </c>
    </row>
    <row r="9">
      <c r="B9" s="17">
        <f>IF(Cadets!$B9="","",Cadets!$B9)</f>
        <v/>
      </c>
      <c r="C9" s="17">
        <f>IF($B9="","",Cadets!$F9)</f>
        <v/>
      </c>
      <c r="D9" s="17">
        <f>IF(OR($B9="",D$5=""),"",IFERROR(SUMIFS(nrES_Rec,nrES_PID,$B9,nrES_Code,D$5,nrES_Final,"Yes"),""))</f>
        <v/>
      </c>
      <c r="E9" s="17">
        <f>IF(OR($B9="",E$5=""),"",IFERROR(SUMIFS(nrES_Rec,nrES_PID,$B9,nrES_Code,E$5,nrES_Final,"Yes"),""))</f>
        <v/>
      </c>
      <c r="F9" s="17">
        <f>IF(OR($B9="",F$5=""),"",IFERROR(SUMIFS(nrES_Rec,nrES_PID,$B9,nrES_Code,F$5,nrES_Final,"Yes"),""))</f>
        <v/>
      </c>
      <c r="G9" s="17">
        <f>IF(OR($B9="",G$5=""),"",IFERROR(SUMIFS(nrES_Rec,nrES_PID,$B9,nrES_Code,G$5,nrES_Final,"Yes"),""))</f>
        <v/>
      </c>
      <c r="H9" s="17">
        <f>IF(OR($B9="",H$5=""),"",IFERROR(SUMIFS(nrES_Rec,nrES_PID,$B9,nrES_Code,H$5,nrES_Final,"Yes"),""))</f>
        <v/>
      </c>
      <c r="I9" s="17">
        <f>IF(OR($B9="",I$5=""),"",IFERROR(SUMIFS(nrES_Rec,nrES_PID,$B9,nrES_Code,I$5,nrES_Final,"Yes"),""))</f>
        <v/>
      </c>
      <c r="J9" s="17">
        <f>IF(OR($B9="",J$5=""),"",IFERROR(SUMIFS(nrES_Rec,nrES_PID,$B9,nrES_Code,J$5,nrES_Final,"Yes"),""))</f>
        <v/>
      </c>
      <c r="K9" s="17">
        <f>IF(OR($B9="",K$5=""),"",IFERROR(SUMIFS(nrES_Rec,nrES_PID,$B9,nrES_Code,K$5,nrES_Final,"Yes"),""))</f>
        <v/>
      </c>
      <c r="L9" s="17">
        <f>IF(OR($B9="",L$5=""),"",IFERROR(SUMIFS(nrES_Rec,nrES_PID,$B9,nrES_Code,L$5,nrES_Final,"Yes"),""))</f>
        <v/>
      </c>
      <c r="M9" s="17">
        <f>IF(OR($B9="",M$5=""),"",IFERROR(SUMIFS(nrES_Rec,nrES_PID,$B9,nrES_Code,M$5,nrES_Final,"Yes"),""))</f>
        <v/>
      </c>
      <c r="N9" s="17">
        <f>IF(OR($B9="",N$5=""),"",IFERROR(SUMIFS(nrES_Rec,nrES_PID,$B9,nrES_Code,N$5,nrES_Final,"Yes"),""))</f>
        <v/>
      </c>
      <c r="O9" s="17">
        <f>IF(OR($B9="",O$5=""),"",IFERROR(SUMIFS(nrES_Rec,nrES_PID,$B9,nrES_Code,O$5,nrES_Final,"Yes"),""))</f>
        <v/>
      </c>
      <c r="P9" s="17">
        <f>IF(OR($B9="",P$5=""),"",IFERROR(SUMIFS(nrES_Rec,nrES_PID,$B9,nrES_Code,P$5,nrES_Final,"Yes"),""))</f>
        <v/>
      </c>
      <c r="Q9" s="17">
        <f>IF(OR($B9="",Q$5=""),"",IFERROR(SUMIFS(nrES_Rec,nrES_PID,$B9,nrES_Code,Q$5,nrES_Final,"Yes"),""))</f>
        <v/>
      </c>
      <c r="R9" s="17">
        <f>IF(OR($B9="",R$5=""),"",IFERROR(SUMIFS(nrES_Rec,nrES_PID,$B9,nrES_Code,R$5,nrES_Final,"Yes"),""))</f>
        <v/>
      </c>
      <c r="S9" s="17">
        <f>IF(OR($B9="",S$5=""),"",IFERROR(SUMIFS(nrES_Rec,nrES_PID,$B9,nrES_Code,S$5,nrES_Final,"Yes"),""))</f>
        <v/>
      </c>
      <c r="T9" s="17">
        <f>IF(OR($B9="",T$5=""),"",IFERROR(SUMIFS(nrES_Rec,nrES_PID,$B9,nrES_Code,T$5,nrES_Final,"Yes"),""))</f>
        <v/>
      </c>
      <c r="U9" s="17">
        <f>IF(OR($B9="",U$5=""),"",IFERROR(SUMIFS(nrES_Rec,nrES_PID,$B9,nrES_Code,U$5,nrES_Final,"Yes"),""))</f>
        <v/>
      </c>
      <c r="V9" s="17">
        <f>IF(OR($B9="",V$5=""),"",IFERROR(SUMIFS(nrES_Rec,nrES_PID,$B9,nrES_Code,V$5,nrES_Final,"Yes"),""))</f>
        <v/>
      </c>
      <c r="W9" s="17">
        <f>IF(OR($B9="",W$5=""),"",IFERROR(SUMIFS(nrES_Rec,nrES_PID,$B9,nrES_Code,W$5,nrES_Final,"Yes"),""))</f>
        <v/>
      </c>
      <c r="X9" s="17">
        <f>IF(OR($B9="",X$5=""),"",IFERROR(SUMIFS(nrES_Rec,nrES_PID,$B9,nrES_Code,X$5,nrES_Final,"Yes"),""))</f>
        <v/>
      </c>
      <c r="Y9" s="17">
        <f>IF(OR($B9="",Y$5=""),"",IFERROR(SUMIFS(nrES_Rec,nrES_PID,$B9,nrES_Code,Y$5,nrES_Final,"Yes"),""))</f>
        <v/>
      </c>
      <c r="Z9" s="17">
        <f>IF(OR($B9="",Z$5=""),"",IFERROR(SUMIFS(nrES_Rec,nrES_PID,$B9,nrES_Code,Z$5,nrES_Final,"Yes"),""))</f>
        <v/>
      </c>
      <c r="AA9" s="17">
        <f>IF(OR($B9="",AA$5=""),"",IFERROR(SUMIFS(nrES_Rec,nrES_PID,$B9,nrES_Code,AA$5,nrES_Final,"Yes"),""))</f>
        <v/>
      </c>
      <c r="AB9" s="17">
        <f>IF(OR($B9="",AB$5=""),"",IFERROR(SUMIFS(nrES_Rec,nrES_PID,$B9,nrES_Code,AB$5,nrES_Final,"Yes"),""))</f>
        <v/>
      </c>
      <c r="AC9" s="17">
        <f>IF($B9="","",sysGrades!$M9)</f>
        <v/>
      </c>
      <c r="AD9" s="17">
        <f>IF($B9="","",IFERROR(sysGrades!$U9,""))</f>
        <v/>
      </c>
    </row>
    <row r="10">
      <c r="B10" s="17">
        <f>IF(Cadets!$B10="","",Cadets!$B10)</f>
        <v/>
      </c>
      <c r="C10" s="17">
        <f>IF($B10="","",Cadets!$F10)</f>
        <v/>
      </c>
      <c r="D10" s="17">
        <f>IF(OR($B10="",D$5=""),"",IFERROR(SUMIFS(nrES_Rec,nrES_PID,$B10,nrES_Code,D$5,nrES_Final,"Yes"),""))</f>
        <v/>
      </c>
      <c r="E10" s="17">
        <f>IF(OR($B10="",E$5=""),"",IFERROR(SUMIFS(nrES_Rec,nrES_PID,$B10,nrES_Code,E$5,nrES_Final,"Yes"),""))</f>
        <v/>
      </c>
      <c r="F10" s="17">
        <f>IF(OR($B10="",F$5=""),"",IFERROR(SUMIFS(nrES_Rec,nrES_PID,$B10,nrES_Code,F$5,nrES_Final,"Yes"),""))</f>
        <v/>
      </c>
      <c r="G10" s="17">
        <f>IF(OR($B10="",G$5=""),"",IFERROR(SUMIFS(nrES_Rec,nrES_PID,$B10,nrES_Code,G$5,nrES_Final,"Yes"),""))</f>
        <v/>
      </c>
      <c r="H10" s="17">
        <f>IF(OR($B10="",H$5=""),"",IFERROR(SUMIFS(nrES_Rec,nrES_PID,$B10,nrES_Code,H$5,nrES_Final,"Yes"),""))</f>
        <v/>
      </c>
      <c r="I10" s="17">
        <f>IF(OR($B10="",I$5=""),"",IFERROR(SUMIFS(nrES_Rec,nrES_PID,$B10,nrES_Code,I$5,nrES_Final,"Yes"),""))</f>
        <v/>
      </c>
      <c r="J10" s="17">
        <f>IF(OR($B10="",J$5=""),"",IFERROR(SUMIFS(nrES_Rec,nrES_PID,$B10,nrES_Code,J$5,nrES_Final,"Yes"),""))</f>
        <v/>
      </c>
      <c r="K10" s="17">
        <f>IF(OR($B10="",K$5=""),"",IFERROR(SUMIFS(nrES_Rec,nrES_PID,$B10,nrES_Code,K$5,nrES_Final,"Yes"),""))</f>
        <v/>
      </c>
      <c r="L10" s="17">
        <f>IF(OR($B10="",L$5=""),"",IFERROR(SUMIFS(nrES_Rec,nrES_PID,$B10,nrES_Code,L$5,nrES_Final,"Yes"),""))</f>
        <v/>
      </c>
      <c r="M10" s="17">
        <f>IF(OR($B10="",M$5=""),"",IFERROR(SUMIFS(nrES_Rec,nrES_PID,$B10,nrES_Code,M$5,nrES_Final,"Yes"),""))</f>
        <v/>
      </c>
      <c r="N10" s="17">
        <f>IF(OR($B10="",N$5=""),"",IFERROR(SUMIFS(nrES_Rec,nrES_PID,$B10,nrES_Code,N$5,nrES_Final,"Yes"),""))</f>
        <v/>
      </c>
      <c r="O10" s="17">
        <f>IF(OR($B10="",O$5=""),"",IFERROR(SUMIFS(nrES_Rec,nrES_PID,$B10,nrES_Code,O$5,nrES_Final,"Yes"),""))</f>
        <v/>
      </c>
      <c r="P10" s="17">
        <f>IF(OR($B10="",P$5=""),"",IFERROR(SUMIFS(nrES_Rec,nrES_PID,$B10,nrES_Code,P$5,nrES_Final,"Yes"),""))</f>
        <v/>
      </c>
      <c r="Q10" s="17">
        <f>IF(OR($B10="",Q$5=""),"",IFERROR(SUMIFS(nrES_Rec,nrES_PID,$B10,nrES_Code,Q$5,nrES_Final,"Yes"),""))</f>
        <v/>
      </c>
      <c r="R10" s="17">
        <f>IF(OR($B10="",R$5=""),"",IFERROR(SUMIFS(nrES_Rec,nrES_PID,$B10,nrES_Code,R$5,nrES_Final,"Yes"),""))</f>
        <v/>
      </c>
      <c r="S10" s="17">
        <f>IF(OR($B10="",S$5=""),"",IFERROR(SUMIFS(nrES_Rec,nrES_PID,$B10,nrES_Code,S$5,nrES_Final,"Yes"),""))</f>
        <v/>
      </c>
      <c r="T10" s="17">
        <f>IF(OR($B10="",T$5=""),"",IFERROR(SUMIFS(nrES_Rec,nrES_PID,$B10,nrES_Code,T$5,nrES_Final,"Yes"),""))</f>
        <v/>
      </c>
      <c r="U10" s="17">
        <f>IF(OR($B10="",U$5=""),"",IFERROR(SUMIFS(nrES_Rec,nrES_PID,$B10,nrES_Code,U$5,nrES_Final,"Yes"),""))</f>
        <v/>
      </c>
      <c r="V10" s="17">
        <f>IF(OR($B10="",V$5=""),"",IFERROR(SUMIFS(nrES_Rec,nrES_PID,$B10,nrES_Code,V$5,nrES_Final,"Yes"),""))</f>
        <v/>
      </c>
      <c r="W10" s="17">
        <f>IF(OR($B10="",W$5=""),"",IFERROR(SUMIFS(nrES_Rec,nrES_PID,$B10,nrES_Code,W$5,nrES_Final,"Yes"),""))</f>
        <v/>
      </c>
      <c r="X10" s="17">
        <f>IF(OR($B10="",X$5=""),"",IFERROR(SUMIFS(nrES_Rec,nrES_PID,$B10,nrES_Code,X$5,nrES_Final,"Yes"),""))</f>
        <v/>
      </c>
      <c r="Y10" s="17">
        <f>IF(OR($B10="",Y$5=""),"",IFERROR(SUMIFS(nrES_Rec,nrES_PID,$B10,nrES_Code,Y$5,nrES_Final,"Yes"),""))</f>
        <v/>
      </c>
      <c r="Z10" s="17">
        <f>IF(OR($B10="",Z$5=""),"",IFERROR(SUMIFS(nrES_Rec,nrES_PID,$B10,nrES_Code,Z$5,nrES_Final,"Yes"),""))</f>
        <v/>
      </c>
      <c r="AA10" s="17">
        <f>IF(OR($B10="",AA$5=""),"",IFERROR(SUMIFS(nrES_Rec,nrES_PID,$B10,nrES_Code,AA$5,nrES_Final,"Yes"),""))</f>
        <v/>
      </c>
      <c r="AB10" s="17">
        <f>IF(OR($B10="",AB$5=""),"",IFERROR(SUMIFS(nrES_Rec,nrES_PID,$B10,nrES_Code,AB$5,nrES_Final,"Yes"),""))</f>
        <v/>
      </c>
      <c r="AC10" s="17">
        <f>IF($B10="","",sysGrades!$M10)</f>
        <v/>
      </c>
      <c r="AD10" s="17">
        <f>IF($B10="","",IFERROR(sysGrades!$U10,""))</f>
        <v/>
      </c>
    </row>
    <row r="11">
      <c r="B11" s="17">
        <f>IF(Cadets!$B11="","",Cadets!$B11)</f>
        <v/>
      </c>
      <c r="C11" s="17">
        <f>IF($B11="","",Cadets!$F11)</f>
        <v/>
      </c>
      <c r="D11" s="17">
        <f>IF(OR($B11="",D$5=""),"",IFERROR(SUMIFS(nrES_Rec,nrES_PID,$B11,nrES_Code,D$5,nrES_Final,"Yes"),""))</f>
        <v/>
      </c>
      <c r="E11" s="17">
        <f>IF(OR($B11="",E$5=""),"",IFERROR(SUMIFS(nrES_Rec,nrES_PID,$B11,nrES_Code,E$5,nrES_Final,"Yes"),""))</f>
        <v/>
      </c>
      <c r="F11" s="17">
        <f>IF(OR($B11="",F$5=""),"",IFERROR(SUMIFS(nrES_Rec,nrES_PID,$B11,nrES_Code,F$5,nrES_Final,"Yes"),""))</f>
        <v/>
      </c>
      <c r="G11" s="17">
        <f>IF(OR($B11="",G$5=""),"",IFERROR(SUMIFS(nrES_Rec,nrES_PID,$B11,nrES_Code,G$5,nrES_Final,"Yes"),""))</f>
        <v/>
      </c>
      <c r="H11" s="17">
        <f>IF(OR($B11="",H$5=""),"",IFERROR(SUMIFS(nrES_Rec,nrES_PID,$B11,nrES_Code,H$5,nrES_Final,"Yes"),""))</f>
        <v/>
      </c>
      <c r="I11" s="17">
        <f>IF(OR($B11="",I$5=""),"",IFERROR(SUMIFS(nrES_Rec,nrES_PID,$B11,nrES_Code,I$5,nrES_Final,"Yes"),""))</f>
        <v/>
      </c>
      <c r="J11" s="17">
        <f>IF(OR($B11="",J$5=""),"",IFERROR(SUMIFS(nrES_Rec,nrES_PID,$B11,nrES_Code,J$5,nrES_Final,"Yes"),""))</f>
        <v/>
      </c>
      <c r="K11" s="17">
        <f>IF(OR($B11="",K$5=""),"",IFERROR(SUMIFS(nrES_Rec,nrES_PID,$B11,nrES_Code,K$5,nrES_Final,"Yes"),""))</f>
        <v/>
      </c>
      <c r="L11" s="17">
        <f>IF(OR($B11="",L$5=""),"",IFERROR(SUMIFS(nrES_Rec,nrES_PID,$B11,nrES_Code,L$5,nrES_Final,"Yes"),""))</f>
        <v/>
      </c>
      <c r="M11" s="17">
        <f>IF(OR($B11="",M$5=""),"",IFERROR(SUMIFS(nrES_Rec,nrES_PID,$B11,nrES_Code,M$5,nrES_Final,"Yes"),""))</f>
        <v/>
      </c>
      <c r="N11" s="17">
        <f>IF(OR($B11="",N$5=""),"",IFERROR(SUMIFS(nrES_Rec,nrES_PID,$B11,nrES_Code,N$5,nrES_Final,"Yes"),""))</f>
        <v/>
      </c>
      <c r="O11" s="17">
        <f>IF(OR($B11="",O$5=""),"",IFERROR(SUMIFS(nrES_Rec,nrES_PID,$B11,nrES_Code,O$5,nrES_Final,"Yes"),""))</f>
        <v/>
      </c>
      <c r="P11" s="17">
        <f>IF(OR($B11="",P$5=""),"",IFERROR(SUMIFS(nrES_Rec,nrES_PID,$B11,nrES_Code,P$5,nrES_Final,"Yes"),""))</f>
        <v/>
      </c>
      <c r="Q11" s="17">
        <f>IF(OR($B11="",Q$5=""),"",IFERROR(SUMIFS(nrES_Rec,nrES_PID,$B11,nrES_Code,Q$5,nrES_Final,"Yes"),""))</f>
        <v/>
      </c>
      <c r="R11" s="17">
        <f>IF(OR($B11="",R$5=""),"",IFERROR(SUMIFS(nrES_Rec,nrES_PID,$B11,nrES_Code,R$5,nrES_Final,"Yes"),""))</f>
        <v/>
      </c>
      <c r="S11" s="17">
        <f>IF(OR($B11="",S$5=""),"",IFERROR(SUMIFS(nrES_Rec,nrES_PID,$B11,nrES_Code,S$5,nrES_Final,"Yes"),""))</f>
        <v/>
      </c>
      <c r="T11" s="17">
        <f>IF(OR($B11="",T$5=""),"",IFERROR(SUMIFS(nrES_Rec,nrES_PID,$B11,nrES_Code,T$5,nrES_Final,"Yes"),""))</f>
        <v/>
      </c>
      <c r="U11" s="17">
        <f>IF(OR($B11="",U$5=""),"",IFERROR(SUMIFS(nrES_Rec,nrES_PID,$B11,nrES_Code,U$5,nrES_Final,"Yes"),""))</f>
        <v/>
      </c>
      <c r="V11" s="17">
        <f>IF(OR($B11="",V$5=""),"",IFERROR(SUMIFS(nrES_Rec,nrES_PID,$B11,nrES_Code,V$5,nrES_Final,"Yes"),""))</f>
        <v/>
      </c>
      <c r="W11" s="17">
        <f>IF(OR($B11="",W$5=""),"",IFERROR(SUMIFS(nrES_Rec,nrES_PID,$B11,nrES_Code,W$5,nrES_Final,"Yes"),""))</f>
        <v/>
      </c>
      <c r="X11" s="17">
        <f>IF(OR($B11="",X$5=""),"",IFERROR(SUMIFS(nrES_Rec,nrES_PID,$B11,nrES_Code,X$5,nrES_Final,"Yes"),""))</f>
        <v/>
      </c>
      <c r="Y11" s="17">
        <f>IF(OR($B11="",Y$5=""),"",IFERROR(SUMIFS(nrES_Rec,nrES_PID,$B11,nrES_Code,Y$5,nrES_Final,"Yes"),""))</f>
        <v/>
      </c>
      <c r="Z11" s="17">
        <f>IF(OR($B11="",Z$5=""),"",IFERROR(SUMIFS(nrES_Rec,nrES_PID,$B11,nrES_Code,Z$5,nrES_Final,"Yes"),""))</f>
        <v/>
      </c>
      <c r="AA11" s="17">
        <f>IF(OR($B11="",AA$5=""),"",IFERROR(SUMIFS(nrES_Rec,nrES_PID,$B11,nrES_Code,AA$5,nrES_Final,"Yes"),""))</f>
        <v/>
      </c>
      <c r="AB11" s="17">
        <f>IF(OR($B11="",AB$5=""),"",IFERROR(SUMIFS(nrES_Rec,nrES_PID,$B11,nrES_Code,AB$5,nrES_Final,"Yes"),""))</f>
        <v/>
      </c>
      <c r="AC11" s="17">
        <f>IF($B11="","",sysGrades!$M11)</f>
        <v/>
      </c>
      <c r="AD11" s="17">
        <f>IF($B11="","",IFERROR(sysGrades!$U11,""))</f>
        <v/>
      </c>
    </row>
    <row r="12">
      <c r="B12" s="17">
        <f>IF(Cadets!$B12="","",Cadets!$B12)</f>
        <v/>
      </c>
      <c r="C12" s="17">
        <f>IF($B12="","",Cadets!$F12)</f>
        <v/>
      </c>
      <c r="D12" s="17">
        <f>IF(OR($B12="",D$5=""),"",IFERROR(SUMIFS(nrES_Rec,nrES_PID,$B12,nrES_Code,D$5,nrES_Final,"Yes"),""))</f>
        <v/>
      </c>
      <c r="E12" s="17">
        <f>IF(OR($B12="",E$5=""),"",IFERROR(SUMIFS(nrES_Rec,nrES_PID,$B12,nrES_Code,E$5,nrES_Final,"Yes"),""))</f>
        <v/>
      </c>
      <c r="F12" s="17">
        <f>IF(OR($B12="",F$5=""),"",IFERROR(SUMIFS(nrES_Rec,nrES_PID,$B12,nrES_Code,F$5,nrES_Final,"Yes"),""))</f>
        <v/>
      </c>
      <c r="G12" s="17">
        <f>IF(OR($B12="",G$5=""),"",IFERROR(SUMIFS(nrES_Rec,nrES_PID,$B12,nrES_Code,G$5,nrES_Final,"Yes"),""))</f>
        <v/>
      </c>
      <c r="H12" s="17">
        <f>IF(OR($B12="",H$5=""),"",IFERROR(SUMIFS(nrES_Rec,nrES_PID,$B12,nrES_Code,H$5,nrES_Final,"Yes"),""))</f>
        <v/>
      </c>
      <c r="I12" s="17">
        <f>IF(OR($B12="",I$5=""),"",IFERROR(SUMIFS(nrES_Rec,nrES_PID,$B12,nrES_Code,I$5,nrES_Final,"Yes"),""))</f>
        <v/>
      </c>
      <c r="J12" s="17">
        <f>IF(OR($B12="",J$5=""),"",IFERROR(SUMIFS(nrES_Rec,nrES_PID,$B12,nrES_Code,J$5,nrES_Final,"Yes"),""))</f>
        <v/>
      </c>
      <c r="K12" s="17">
        <f>IF(OR($B12="",K$5=""),"",IFERROR(SUMIFS(nrES_Rec,nrES_PID,$B12,nrES_Code,K$5,nrES_Final,"Yes"),""))</f>
        <v/>
      </c>
      <c r="L12" s="17">
        <f>IF(OR($B12="",L$5=""),"",IFERROR(SUMIFS(nrES_Rec,nrES_PID,$B12,nrES_Code,L$5,nrES_Final,"Yes"),""))</f>
        <v/>
      </c>
      <c r="M12" s="17">
        <f>IF(OR($B12="",M$5=""),"",IFERROR(SUMIFS(nrES_Rec,nrES_PID,$B12,nrES_Code,M$5,nrES_Final,"Yes"),""))</f>
        <v/>
      </c>
      <c r="N12" s="17">
        <f>IF(OR($B12="",N$5=""),"",IFERROR(SUMIFS(nrES_Rec,nrES_PID,$B12,nrES_Code,N$5,nrES_Final,"Yes"),""))</f>
        <v/>
      </c>
      <c r="O12" s="17">
        <f>IF(OR($B12="",O$5=""),"",IFERROR(SUMIFS(nrES_Rec,nrES_PID,$B12,nrES_Code,O$5,nrES_Final,"Yes"),""))</f>
        <v/>
      </c>
      <c r="P12" s="17">
        <f>IF(OR($B12="",P$5=""),"",IFERROR(SUMIFS(nrES_Rec,nrES_PID,$B12,nrES_Code,P$5,nrES_Final,"Yes"),""))</f>
        <v/>
      </c>
      <c r="Q12" s="17">
        <f>IF(OR($B12="",Q$5=""),"",IFERROR(SUMIFS(nrES_Rec,nrES_PID,$B12,nrES_Code,Q$5,nrES_Final,"Yes"),""))</f>
        <v/>
      </c>
      <c r="R12" s="17">
        <f>IF(OR($B12="",R$5=""),"",IFERROR(SUMIFS(nrES_Rec,nrES_PID,$B12,nrES_Code,R$5,nrES_Final,"Yes"),""))</f>
        <v/>
      </c>
      <c r="S12" s="17">
        <f>IF(OR($B12="",S$5=""),"",IFERROR(SUMIFS(nrES_Rec,nrES_PID,$B12,nrES_Code,S$5,nrES_Final,"Yes"),""))</f>
        <v/>
      </c>
      <c r="T12" s="17">
        <f>IF(OR($B12="",T$5=""),"",IFERROR(SUMIFS(nrES_Rec,nrES_PID,$B12,nrES_Code,T$5,nrES_Final,"Yes"),""))</f>
        <v/>
      </c>
      <c r="U12" s="17">
        <f>IF(OR($B12="",U$5=""),"",IFERROR(SUMIFS(nrES_Rec,nrES_PID,$B12,nrES_Code,U$5,nrES_Final,"Yes"),""))</f>
        <v/>
      </c>
      <c r="V12" s="17">
        <f>IF(OR($B12="",V$5=""),"",IFERROR(SUMIFS(nrES_Rec,nrES_PID,$B12,nrES_Code,V$5,nrES_Final,"Yes"),""))</f>
        <v/>
      </c>
      <c r="W12" s="17">
        <f>IF(OR($B12="",W$5=""),"",IFERROR(SUMIFS(nrES_Rec,nrES_PID,$B12,nrES_Code,W$5,nrES_Final,"Yes"),""))</f>
        <v/>
      </c>
      <c r="X12" s="17">
        <f>IF(OR($B12="",X$5=""),"",IFERROR(SUMIFS(nrES_Rec,nrES_PID,$B12,nrES_Code,X$5,nrES_Final,"Yes"),""))</f>
        <v/>
      </c>
      <c r="Y12" s="17">
        <f>IF(OR($B12="",Y$5=""),"",IFERROR(SUMIFS(nrES_Rec,nrES_PID,$B12,nrES_Code,Y$5,nrES_Final,"Yes"),""))</f>
        <v/>
      </c>
      <c r="Z12" s="17">
        <f>IF(OR($B12="",Z$5=""),"",IFERROR(SUMIFS(nrES_Rec,nrES_PID,$B12,nrES_Code,Z$5,nrES_Final,"Yes"),""))</f>
        <v/>
      </c>
      <c r="AA12" s="17">
        <f>IF(OR($B12="",AA$5=""),"",IFERROR(SUMIFS(nrES_Rec,nrES_PID,$B12,nrES_Code,AA$5,nrES_Final,"Yes"),""))</f>
        <v/>
      </c>
      <c r="AB12" s="17">
        <f>IF(OR($B12="",AB$5=""),"",IFERROR(SUMIFS(nrES_Rec,nrES_PID,$B12,nrES_Code,AB$5,nrES_Final,"Yes"),""))</f>
        <v/>
      </c>
      <c r="AC12" s="17">
        <f>IF($B12="","",sysGrades!$M12)</f>
        <v/>
      </c>
      <c r="AD12" s="17">
        <f>IF($B12="","",IFERROR(sysGrades!$U12,""))</f>
        <v/>
      </c>
    </row>
    <row r="13">
      <c r="B13" s="17">
        <f>IF(Cadets!$B13="","",Cadets!$B13)</f>
        <v/>
      </c>
      <c r="C13" s="17">
        <f>IF($B13="","",Cadets!$F13)</f>
        <v/>
      </c>
      <c r="D13" s="17">
        <f>IF(OR($B13="",D$5=""),"",IFERROR(SUMIFS(nrES_Rec,nrES_PID,$B13,nrES_Code,D$5,nrES_Final,"Yes"),""))</f>
        <v/>
      </c>
      <c r="E13" s="17">
        <f>IF(OR($B13="",E$5=""),"",IFERROR(SUMIFS(nrES_Rec,nrES_PID,$B13,nrES_Code,E$5,nrES_Final,"Yes"),""))</f>
        <v/>
      </c>
      <c r="F13" s="17">
        <f>IF(OR($B13="",F$5=""),"",IFERROR(SUMIFS(nrES_Rec,nrES_PID,$B13,nrES_Code,F$5,nrES_Final,"Yes"),""))</f>
        <v/>
      </c>
      <c r="G13" s="17">
        <f>IF(OR($B13="",G$5=""),"",IFERROR(SUMIFS(nrES_Rec,nrES_PID,$B13,nrES_Code,G$5,nrES_Final,"Yes"),""))</f>
        <v/>
      </c>
      <c r="H13" s="17">
        <f>IF(OR($B13="",H$5=""),"",IFERROR(SUMIFS(nrES_Rec,nrES_PID,$B13,nrES_Code,H$5,nrES_Final,"Yes"),""))</f>
        <v/>
      </c>
      <c r="I13" s="17">
        <f>IF(OR($B13="",I$5=""),"",IFERROR(SUMIFS(nrES_Rec,nrES_PID,$B13,nrES_Code,I$5,nrES_Final,"Yes"),""))</f>
        <v/>
      </c>
      <c r="J13" s="17">
        <f>IF(OR($B13="",J$5=""),"",IFERROR(SUMIFS(nrES_Rec,nrES_PID,$B13,nrES_Code,J$5,nrES_Final,"Yes"),""))</f>
        <v/>
      </c>
      <c r="K13" s="17">
        <f>IF(OR($B13="",K$5=""),"",IFERROR(SUMIFS(nrES_Rec,nrES_PID,$B13,nrES_Code,K$5,nrES_Final,"Yes"),""))</f>
        <v/>
      </c>
      <c r="L13" s="17">
        <f>IF(OR($B13="",L$5=""),"",IFERROR(SUMIFS(nrES_Rec,nrES_PID,$B13,nrES_Code,L$5,nrES_Final,"Yes"),""))</f>
        <v/>
      </c>
      <c r="M13" s="17">
        <f>IF(OR($B13="",M$5=""),"",IFERROR(SUMIFS(nrES_Rec,nrES_PID,$B13,nrES_Code,M$5,nrES_Final,"Yes"),""))</f>
        <v/>
      </c>
      <c r="N13" s="17">
        <f>IF(OR($B13="",N$5=""),"",IFERROR(SUMIFS(nrES_Rec,nrES_PID,$B13,nrES_Code,N$5,nrES_Final,"Yes"),""))</f>
        <v/>
      </c>
      <c r="O13" s="17">
        <f>IF(OR($B13="",O$5=""),"",IFERROR(SUMIFS(nrES_Rec,nrES_PID,$B13,nrES_Code,O$5,nrES_Final,"Yes"),""))</f>
        <v/>
      </c>
      <c r="P13" s="17">
        <f>IF(OR($B13="",P$5=""),"",IFERROR(SUMIFS(nrES_Rec,nrES_PID,$B13,nrES_Code,P$5,nrES_Final,"Yes"),""))</f>
        <v/>
      </c>
      <c r="Q13" s="17">
        <f>IF(OR($B13="",Q$5=""),"",IFERROR(SUMIFS(nrES_Rec,nrES_PID,$B13,nrES_Code,Q$5,nrES_Final,"Yes"),""))</f>
        <v/>
      </c>
      <c r="R13" s="17">
        <f>IF(OR($B13="",R$5=""),"",IFERROR(SUMIFS(nrES_Rec,nrES_PID,$B13,nrES_Code,R$5,nrES_Final,"Yes"),""))</f>
        <v/>
      </c>
      <c r="S13" s="17">
        <f>IF(OR($B13="",S$5=""),"",IFERROR(SUMIFS(nrES_Rec,nrES_PID,$B13,nrES_Code,S$5,nrES_Final,"Yes"),""))</f>
        <v/>
      </c>
      <c r="T13" s="17">
        <f>IF(OR($B13="",T$5=""),"",IFERROR(SUMIFS(nrES_Rec,nrES_PID,$B13,nrES_Code,T$5,nrES_Final,"Yes"),""))</f>
        <v/>
      </c>
      <c r="U13" s="17">
        <f>IF(OR($B13="",U$5=""),"",IFERROR(SUMIFS(nrES_Rec,nrES_PID,$B13,nrES_Code,U$5,nrES_Final,"Yes"),""))</f>
        <v/>
      </c>
      <c r="V13" s="17">
        <f>IF(OR($B13="",V$5=""),"",IFERROR(SUMIFS(nrES_Rec,nrES_PID,$B13,nrES_Code,V$5,nrES_Final,"Yes"),""))</f>
        <v/>
      </c>
      <c r="W13" s="17">
        <f>IF(OR($B13="",W$5=""),"",IFERROR(SUMIFS(nrES_Rec,nrES_PID,$B13,nrES_Code,W$5,nrES_Final,"Yes"),""))</f>
        <v/>
      </c>
      <c r="X13" s="17">
        <f>IF(OR($B13="",X$5=""),"",IFERROR(SUMIFS(nrES_Rec,nrES_PID,$B13,nrES_Code,X$5,nrES_Final,"Yes"),""))</f>
        <v/>
      </c>
      <c r="Y13" s="17">
        <f>IF(OR($B13="",Y$5=""),"",IFERROR(SUMIFS(nrES_Rec,nrES_PID,$B13,nrES_Code,Y$5,nrES_Final,"Yes"),""))</f>
        <v/>
      </c>
      <c r="Z13" s="17">
        <f>IF(OR($B13="",Z$5=""),"",IFERROR(SUMIFS(nrES_Rec,nrES_PID,$B13,nrES_Code,Z$5,nrES_Final,"Yes"),""))</f>
        <v/>
      </c>
      <c r="AA13" s="17">
        <f>IF(OR($B13="",AA$5=""),"",IFERROR(SUMIFS(nrES_Rec,nrES_PID,$B13,nrES_Code,AA$5,nrES_Final,"Yes"),""))</f>
        <v/>
      </c>
      <c r="AB13" s="17">
        <f>IF(OR($B13="",AB$5=""),"",IFERROR(SUMIFS(nrES_Rec,nrES_PID,$B13,nrES_Code,AB$5,nrES_Final,"Yes"),""))</f>
        <v/>
      </c>
      <c r="AC13" s="17">
        <f>IF($B13="","",sysGrades!$M13)</f>
        <v/>
      </c>
      <c r="AD13" s="17">
        <f>IF($B13="","",IFERROR(sysGrades!$U13,""))</f>
        <v/>
      </c>
    </row>
    <row r="14">
      <c r="B14" s="17">
        <f>IF(Cadets!$B14="","",Cadets!$B14)</f>
        <v/>
      </c>
      <c r="C14" s="17">
        <f>IF($B14="","",Cadets!$F14)</f>
        <v/>
      </c>
      <c r="D14" s="17">
        <f>IF(OR($B14="",D$5=""),"",IFERROR(SUMIFS(nrES_Rec,nrES_PID,$B14,nrES_Code,D$5,nrES_Final,"Yes"),""))</f>
        <v/>
      </c>
      <c r="E14" s="17">
        <f>IF(OR($B14="",E$5=""),"",IFERROR(SUMIFS(nrES_Rec,nrES_PID,$B14,nrES_Code,E$5,nrES_Final,"Yes"),""))</f>
        <v/>
      </c>
      <c r="F14" s="17">
        <f>IF(OR($B14="",F$5=""),"",IFERROR(SUMIFS(nrES_Rec,nrES_PID,$B14,nrES_Code,F$5,nrES_Final,"Yes"),""))</f>
        <v/>
      </c>
      <c r="G14" s="17">
        <f>IF(OR($B14="",G$5=""),"",IFERROR(SUMIFS(nrES_Rec,nrES_PID,$B14,nrES_Code,G$5,nrES_Final,"Yes"),""))</f>
        <v/>
      </c>
      <c r="H14" s="17">
        <f>IF(OR($B14="",H$5=""),"",IFERROR(SUMIFS(nrES_Rec,nrES_PID,$B14,nrES_Code,H$5,nrES_Final,"Yes"),""))</f>
        <v/>
      </c>
      <c r="I14" s="17">
        <f>IF(OR($B14="",I$5=""),"",IFERROR(SUMIFS(nrES_Rec,nrES_PID,$B14,nrES_Code,I$5,nrES_Final,"Yes"),""))</f>
        <v/>
      </c>
      <c r="J14" s="17">
        <f>IF(OR($B14="",J$5=""),"",IFERROR(SUMIFS(nrES_Rec,nrES_PID,$B14,nrES_Code,J$5,nrES_Final,"Yes"),""))</f>
        <v/>
      </c>
      <c r="K14" s="17">
        <f>IF(OR($B14="",K$5=""),"",IFERROR(SUMIFS(nrES_Rec,nrES_PID,$B14,nrES_Code,K$5,nrES_Final,"Yes"),""))</f>
        <v/>
      </c>
      <c r="L14" s="17">
        <f>IF(OR($B14="",L$5=""),"",IFERROR(SUMIFS(nrES_Rec,nrES_PID,$B14,nrES_Code,L$5,nrES_Final,"Yes"),""))</f>
        <v/>
      </c>
      <c r="M14" s="17">
        <f>IF(OR($B14="",M$5=""),"",IFERROR(SUMIFS(nrES_Rec,nrES_PID,$B14,nrES_Code,M$5,nrES_Final,"Yes"),""))</f>
        <v/>
      </c>
      <c r="N14" s="17">
        <f>IF(OR($B14="",N$5=""),"",IFERROR(SUMIFS(nrES_Rec,nrES_PID,$B14,nrES_Code,N$5,nrES_Final,"Yes"),""))</f>
        <v/>
      </c>
      <c r="O14" s="17">
        <f>IF(OR($B14="",O$5=""),"",IFERROR(SUMIFS(nrES_Rec,nrES_PID,$B14,nrES_Code,O$5,nrES_Final,"Yes"),""))</f>
        <v/>
      </c>
      <c r="P14" s="17">
        <f>IF(OR($B14="",P$5=""),"",IFERROR(SUMIFS(nrES_Rec,nrES_PID,$B14,nrES_Code,P$5,nrES_Final,"Yes"),""))</f>
        <v/>
      </c>
      <c r="Q14" s="17">
        <f>IF(OR($B14="",Q$5=""),"",IFERROR(SUMIFS(nrES_Rec,nrES_PID,$B14,nrES_Code,Q$5,nrES_Final,"Yes"),""))</f>
        <v/>
      </c>
      <c r="R14" s="17">
        <f>IF(OR($B14="",R$5=""),"",IFERROR(SUMIFS(nrES_Rec,nrES_PID,$B14,nrES_Code,R$5,nrES_Final,"Yes"),""))</f>
        <v/>
      </c>
      <c r="S14" s="17">
        <f>IF(OR($B14="",S$5=""),"",IFERROR(SUMIFS(nrES_Rec,nrES_PID,$B14,nrES_Code,S$5,nrES_Final,"Yes"),""))</f>
        <v/>
      </c>
      <c r="T14" s="17">
        <f>IF(OR($B14="",T$5=""),"",IFERROR(SUMIFS(nrES_Rec,nrES_PID,$B14,nrES_Code,T$5,nrES_Final,"Yes"),""))</f>
        <v/>
      </c>
      <c r="U14" s="17">
        <f>IF(OR($B14="",U$5=""),"",IFERROR(SUMIFS(nrES_Rec,nrES_PID,$B14,nrES_Code,U$5,nrES_Final,"Yes"),""))</f>
        <v/>
      </c>
      <c r="V14" s="17">
        <f>IF(OR($B14="",V$5=""),"",IFERROR(SUMIFS(nrES_Rec,nrES_PID,$B14,nrES_Code,V$5,nrES_Final,"Yes"),""))</f>
        <v/>
      </c>
      <c r="W14" s="17">
        <f>IF(OR($B14="",W$5=""),"",IFERROR(SUMIFS(nrES_Rec,nrES_PID,$B14,nrES_Code,W$5,nrES_Final,"Yes"),""))</f>
        <v/>
      </c>
      <c r="X14" s="17">
        <f>IF(OR($B14="",X$5=""),"",IFERROR(SUMIFS(nrES_Rec,nrES_PID,$B14,nrES_Code,X$5,nrES_Final,"Yes"),""))</f>
        <v/>
      </c>
      <c r="Y14" s="17">
        <f>IF(OR($B14="",Y$5=""),"",IFERROR(SUMIFS(nrES_Rec,nrES_PID,$B14,nrES_Code,Y$5,nrES_Final,"Yes"),""))</f>
        <v/>
      </c>
      <c r="Z14" s="17">
        <f>IF(OR($B14="",Z$5=""),"",IFERROR(SUMIFS(nrES_Rec,nrES_PID,$B14,nrES_Code,Z$5,nrES_Final,"Yes"),""))</f>
        <v/>
      </c>
      <c r="AA14" s="17">
        <f>IF(OR($B14="",AA$5=""),"",IFERROR(SUMIFS(nrES_Rec,nrES_PID,$B14,nrES_Code,AA$5,nrES_Final,"Yes"),""))</f>
        <v/>
      </c>
      <c r="AB14" s="17">
        <f>IF(OR($B14="",AB$5=""),"",IFERROR(SUMIFS(nrES_Rec,nrES_PID,$B14,nrES_Code,AB$5,nrES_Final,"Yes"),""))</f>
        <v/>
      </c>
      <c r="AC14" s="17">
        <f>IF($B14="","",sysGrades!$M14)</f>
        <v/>
      </c>
      <c r="AD14" s="17">
        <f>IF($B14="","",IFERROR(sysGrades!$U14,""))</f>
        <v/>
      </c>
    </row>
    <row r="15">
      <c r="B15" s="17">
        <f>IF(Cadets!$B15="","",Cadets!$B15)</f>
        <v/>
      </c>
      <c r="C15" s="17">
        <f>IF($B15="","",Cadets!$F15)</f>
        <v/>
      </c>
      <c r="D15" s="17">
        <f>IF(OR($B15="",D$5=""),"",IFERROR(SUMIFS(nrES_Rec,nrES_PID,$B15,nrES_Code,D$5,nrES_Final,"Yes"),""))</f>
        <v/>
      </c>
      <c r="E15" s="17">
        <f>IF(OR($B15="",E$5=""),"",IFERROR(SUMIFS(nrES_Rec,nrES_PID,$B15,nrES_Code,E$5,nrES_Final,"Yes"),""))</f>
        <v/>
      </c>
      <c r="F15" s="17">
        <f>IF(OR($B15="",F$5=""),"",IFERROR(SUMIFS(nrES_Rec,nrES_PID,$B15,nrES_Code,F$5,nrES_Final,"Yes"),""))</f>
        <v/>
      </c>
      <c r="G15" s="17">
        <f>IF(OR($B15="",G$5=""),"",IFERROR(SUMIFS(nrES_Rec,nrES_PID,$B15,nrES_Code,G$5,nrES_Final,"Yes"),""))</f>
        <v/>
      </c>
      <c r="H15" s="17">
        <f>IF(OR($B15="",H$5=""),"",IFERROR(SUMIFS(nrES_Rec,nrES_PID,$B15,nrES_Code,H$5,nrES_Final,"Yes"),""))</f>
        <v/>
      </c>
      <c r="I15" s="17">
        <f>IF(OR($B15="",I$5=""),"",IFERROR(SUMIFS(nrES_Rec,nrES_PID,$B15,nrES_Code,I$5,nrES_Final,"Yes"),""))</f>
        <v/>
      </c>
      <c r="J15" s="17">
        <f>IF(OR($B15="",J$5=""),"",IFERROR(SUMIFS(nrES_Rec,nrES_PID,$B15,nrES_Code,J$5,nrES_Final,"Yes"),""))</f>
        <v/>
      </c>
      <c r="K15" s="17">
        <f>IF(OR($B15="",K$5=""),"",IFERROR(SUMIFS(nrES_Rec,nrES_PID,$B15,nrES_Code,K$5,nrES_Final,"Yes"),""))</f>
        <v/>
      </c>
      <c r="L15" s="17">
        <f>IF(OR($B15="",L$5=""),"",IFERROR(SUMIFS(nrES_Rec,nrES_PID,$B15,nrES_Code,L$5,nrES_Final,"Yes"),""))</f>
        <v/>
      </c>
      <c r="M15" s="17">
        <f>IF(OR($B15="",M$5=""),"",IFERROR(SUMIFS(nrES_Rec,nrES_PID,$B15,nrES_Code,M$5,nrES_Final,"Yes"),""))</f>
        <v/>
      </c>
      <c r="N15" s="17">
        <f>IF(OR($B15="",N$5=""),"",IFERROR(SUMIFS(nrES_Rec,nrES_PID,$B15,nrES_Code,N$5,nrES_Final,"Yes"),""))</f>
        <v/>
      </c>
      <c r="O15" s="17">
        <f>IF(OR($B15="",O$5=""),"",IFERROR(SUMIFS(nrES_Rec,nrES_PID,$B15,nrES_Code,O$5,nrES_Final,"Yes"),""))</f>
        <v/>
      </c>
      <c r="P15" s="17">
        <f>IF(OR($B15="",P$5=""),"",IFERROR(SUMIFS(nrES_Rec,nrES_PID,$B15,nrES_Code,P$5,nrES_Final,"Yes"),""))</f>
        <v/>
      </c>
      <c r="Q15" s="17">
        <f>IF(OR($B15="",Q$5=""),"",IFERROR(SUMIFS(nrES_Rec,nrES_PID,$B15,nrES_Code,Q$5,nrES_Final,"Yes"),""))</f>
        <v/>
      </c>
      <c r="R15" s="17">
        <f>IF(OR($B15="",R$5=""),"",IFERROR(SUMIFS(nrES_Rec,nrES_PID,$B15,nrES_Code,R$5,nrES_Final,"Yes"),""))</f>
        <v/>
      </c>
      <c r="S15" s="17">
        <f>IF(OR($B15="",S$5=""),"",IFERROR(SUMIFS(nrES_Rec,nrES_PID,$B15,nrES_Code,S$5,nrES_Final,"Yes"),""))</f>
        <v/>
      </c>
      <c r="T15" s="17">
        <f>IF(OR($B15="",T$5=""),"",IFERROR(SUMIFS(nrES_Rec,nrES_PID,$B15,nrES_Code,T$5,nrES_Final,"Yes"),""))</f>
        <v/>
      </c>
      <c r="U15" s="17">
        <f>IF(OR($B15="",U$5=""),"",IFERROR(SUMIFS(nrES_Rec,nrES_PID,$B15,nrES_Code,U$5,nrES_Final,"Yes"),""))</f>
        <v/>
      </c>
      <c r="V15" s="17">
        <f>IF(OR($B15="",V$5=""),"",IFERROR(SUMIFS(nrES_Rec,nrES_PID,$B15,nrES_Code,V$5,nrES_Final,"Yes"),""))</f>
        <v/>
      </c>
      <c r="W15" s="17">
        <f>IF(OR($B15="",W$5=""),"",IFERROR(SUMIFS(nrES_Rec,nrES_PID,$B15,nrES_Code,W$5,nrES_Final,"Yes"),""))</f>
        <v/>
      </c>
      <c r="X15" s="17">
        <f>IF(OR($B15="",X$5=""),"",IFERROR(SUMIFS(nrES_Rec,nrES_PID,$B15,nrES_Code,X$5,nrES_Final,"Yes"),""))</f>
        <v/>
      </c>
      <c r="Y15" s="17">
        <f>IF(OR($B15="",Y$5=""),"",IFERROR(SUMIFS(nrES_Rec,nrES_PID,$B15,nrES_Code,Y$5,nrES_Final,"Yes"),""))</f>
        <v/>
      </c>
      <c r="Z15" s="17">
        <f>IF(OR($B15="",Z$5=""),"",IFERROR(SUMIFS(nrES_Rec,nrES_PID,$B15,nrES_Code,Z$5,nrES_Final,"Yes"),""))</f>
        <v/>
      </c>
      <c r="AA15" s="17">
        <f>IF(OR($B15="",AA$5=""),"",IFERROR(SUMIFS(nrES_Rec,nrES_PID,$B15,nrES_Code,AA$5,nrES_Final,"Yes"),""))</f>
        <v/>
      </c>
      <c r="AB15" s="17">
        <f>IF(OR($B15="",AB$5=""),"",IFERROR(SUMIFS(nrES_Rec,nrES_PID,$B15,nrES_Code,AB$5,nrES_Final,"Yes"),""))</f>
        <v/>
      </c>
      <c r="AC15" s="17">
        <f>IF($B15="","",sysGrades!$M15)</f>
        <v/>
      </c>
      <c r="AD15" s="17">
        <f>IF($B15="","",IFERROR(sysGrades!$U15,""))</f>
        <v/>
      </c>
    </row>
    <row r="16">
      <c r="B16" s="17">
        <f>IF(Cadets!$B16="","",Cadets!$B16)</f>
        <v/>
      </c>
      <c r="C16" s="17">
        <f>IF($B16="","",Cadets!$F16)</f>
        <v/>
      </c>
      <c r="D16" s="17">
        <f>IF(OR($B16="",D$5=""),"",IFERROR(SUMIFS(nrES_Rec,nrES_PID,$B16,nrES_Code,D$5,nrES_Final,"Yes"),""))</f>
        <v/>
      </c>
      <c r="E16" s="17">
        <f>IF(OR($B16="",E$5=""),"",IFERROR(SUMIFS(nrES_Rec,nrES_PID,$B16,nrES_Code,E$5,nrES_Final,"Yes"),""))</f>
        <v/>
      </c>
      <c r="F16" s="17">
        <f>IF(OR($B16="",F$5=""),"",IFERROR(SUMIFS(nrES_Rec,nrES_PID,$B16,nrES_Code,F$5,nrES_Final,"Yes"),""))</f>
        <v/>
      </c>
      <c r="G16" s="17">
        <f>IF(OR($B16="",G$5=""),"",IFERROR(SUMIFS(nrES_Rec,nrES_PID,$B16,nrES_Code,G$5,nrES_Final,"Yes"),""))</f>
        <v/>
      </c>
      <c r="H16" s="17">
        <f>IF(OR($B16="",H$5=""),"",IFERROR(SUMIFS(nrES_Rec,nrES_PID,$B16,nrES_Code,H$5,nrES_Final,"Yes"),""))</f>
        <v/>
      </c>
      <c r="I16" s="17">
        <f>IF(OR($B16="",I$5=""),"",IFERROR(SUMIFS(nrES_Rec,nrES_PID,$B16,nrES_Code,I$5,nrES_Final,"Yes"),""))</f>
        <v/>
      </c>
      <c r="J16" s="17">
        <f>IF(OR($B16="",J$5=""),"",IFERROR(SUMIFS(nrES_Rec,nrES_PID,$B16,nrES_Code,J$5,nrES_Final,"Yes"),""))</f>
        <v/>
      </c>
      <c r="K16" s="17">
        <f>IF(OR($B16="",K$5=""),"",IFERROR(SUMIFS(nrES_Rec,nrES_PID,$B16,nrES_Code,K$5,nrES_Final,"Yes"),""))</f>
        <v/>
      </c>
      <c r="L16" s="17">
        <f>IF(OR($B16="",L$5=""),"",IFERROR(SUMIFS(nrES_Rec,nrES_PID,$B16,nrES_Code,L$5,nrES_Final,"Yes"),""))</f>
        <v/>
      </c>
      <c r="M16" s="17">
        <f>IF(OR($B16="",M$5=""),"",IFERROR(SUMIFS(nrES_Rec,nrES_PID,$B16,nrES_Code,M$5,nrES_Final,"Yes"),""))</f>
        <v/>
      </c>
      <c r="N16" s="17">
        <f>IF(OR($B16="",N$5=""),"",IFERROR(SUMIFS(nrES_Rec,nrES_PID,$B16,nrES_Code,N$5,nrES_Final,"Yes"),""))</f>
        <v/>
      </c>
      <c r="O16" s="17">
        <f>IF(OR($B16="",O$5=""),"",IFERROR(SUMIFS(nrES_Rec,nrES_PID,$B16,nrES_Code,O$5,nrES_Final,"Yes"),""))</f>
        <v/>
      </c>
      <c r="P16" s="17">
        <f>IF(OR($B16="",P$5=""),"",IFERROR(SUMIFS(nrES_Rec,nrES_PID,$B16,nrES_Code,P$5,nrES_Final,"Yes"),""))</f>
        <v/>
      </c>
      <c r="Q16" s="17">
        <f>IF(OR($B16="",Q$5=""),"",IFERROR(SUMIFS(nrES_Rec,nrES_PID,$B16,nrES_Code,Q$5,nrES_Final,"Yes"),""))</f>
        <v/>
      </c>
      <c r="R16" s="17">
        <f>IF(OR($B16="",R$5=""),"",IFERROR(SUMIFS(nrES_Rec,nrES_PID,$B16,nrES_Code,R$5,nrES_Final,"Yes"),""))</f>
        <v/>
      </c>
      <c r="S16" s="17">
        <f>IF(OR($B16="",S$5=""),"",IFERROR(SUMIFS(nrES_Rec,nrES_PID,$B16,nrES_Code,S$5,nrES_Final,"Yes"),""))</f>
        <v/>
      </c>
      <c r="T16" s="17">
        <f>IF(OR($B16="",T$5=""),"",IFERROR(SUMIFS(nrES_Rec,nrES_PID,$B16,nrES_Code,T$5,nrES_Final,"Yes"),""))</f>
        <v/>
      </c>
      <c r="U16" s="17">
        <f>IF(OR($B16="",U$5=""),"",IFERROR(SUMIFS(nrES_Rec,nrES_PID,$B16,nrES_Code,U$5,nrES_Final,"Yes"),""))</f>
        <v/>
      </c>
      <c r="V16" s="17">
        <f>IF(OR($B16="",V$5=""),"",IFERROR(SUMIFS(nrES_Rec,nrES_PID,$B16,nrES_Code,V$5,nrES_Final,"Yes"),""))</f>
        <v/>
      </c>
      <c r="W16" s="17">
        <f>IF(OR($B16="",W$5=""),"",IFERROR(SUMIFS(nrES_Rec,nrES_PID,$B16,nrES_Code,W$5,nrES_Final,"Yes"),""))</f>
        <v/>
      </c>
      <c r="X16" s="17">
        <f>IF(OR($B16="",X$5=""),"",IFERROR(SUMIFS(nrES_Rec,nrES_PID,$B16,nrES_Code,X$5,nrES_Final,"Yes"),""))</f>
        <v/>
      </c>
      <c r="Y16" s="17">
        <f>IF(OR($B16="",Y$5=""),"",IFERROR(SUMIFS(nrES_Rec,nrES_PID,$B16,nrES_Code,Y$5,nrES_Final,"Yes"),""))</f>
        <v/>
      </c>
      <c r="Z16" s="17">
        <f>IF(OR($B16="",Z$5=""),"",IFERROR(SUMIFS(nrES_Rec,nrES_PID,$B16,nrES_Code,Z$5,nrES_Final,"Yes"),""))</f>
        <v/>
      </c>
      <c r="AA16" s="17">
        <f>IF(OR($B16="",AA$5=""),"",IFERROR(SUMIFS(nrES_Rec,nrES_PID,$B16,nrES_Code,AA$5,nrES_Final,"Yes"),""))</f>
        <v/>
      </c>
      <c r="AB16" s="17">
        <f>IF(OR($B16="",AB$5=""),"",IFERROR(SUMIFS(nrES_Rec,nrES_PID,$B16,nrES_Code,AB$5,nrES_Final,"Yes"),""))</f>
        <v/>
      </c>
      <c r="AC16" s="17">
        <f>IF($B16="","",sysGrades!$M16)</f>
        <v/>
      </c>
      <c r="AD16" s="17">
        <f>IF($B16="","",IFERROR(sysGrades!$U16,""))</f>
        <v/>
      </c>
    </row>
    <row r="17">
      <c r="B17" s="17">
        <f>IF(Cadets!$B17="","",Cadets!$B17)</f>
        <v/>
      </c>
      <c r="C17" s="17">
        <f>IF($B17="","",Cadets!$F17)</f>
        <v/>
      </c>
      <c r="D17" s="17">
        <f>IF(OR($B17="",D$5=""),"",IFERROR(SUMIFS(nrES_Rec,nrES_PID,$B17,nrES_Code,D$5,nrES_Final,"Yes"),""))</f>
        <v/>
      </c>
      <c r="E17" s="17">
        <f>IF(OR($B17="",E$5=""),"",IFERROR(SUMIFS(nrES_Rec,nrES_PID,$B17,nrES_Code,E$5,nrES_Final,"Yes"),""))</f>
        <v/>
      </c>
      <c r="F17" s="17">
        <f>IF(OR($B17="",F$5=""),"",IFERROR(SUMIFS(nrES_Rec,nrES_PID,$B17,nrES_Code,F$5,nrES_Final,"Yes"),""))</f>
        <v/>
      </c>
      <c r="G17" s="17">
        <f>IF(OR($B17="",G$5=""),"",IFERROR(SUMIFS(nrES_Rec,nrES_PID,$B17,nrES_Code,G$5,nrES_Final,"Yes"),""))</f>
        <v/>
      </c>
      <c r="H17" s="17">
        <f>IF(OR($B17="",H$5=""),"",IFERROR(SUMIFS(nrES_Rec,nrES_PID,$B17,nrES_Code,H$5,nrES_Final,"Yes"),""))</f>
        <v/>
      </c>
      <c r="I17" s="17">
        <f>IF(OR($B17="",I$5=""),"",IFERROR(SUMIFS(nrES_Rec,nrES_PID,$B17,nrES_Code,I$5,nrES_Final,"Yes"),""))</f>
        <v/>
      </c>
      <c r="J17" s="17">
        <f>IF(OR($B17="",J$5=""),"",IFERROR(SUMIFS(nrES_Rec,nrES_PID,$B17,nrES_Code,J$5,nrES_Final,"Yes"),""))</f>
        <v/>
      </c>
      <c r="K17" s="17">
        <f>IF(OR($B17="",K$5=""),"",IFERROR(SUMIFS(nrES_Rec,nrES_PID,$B17,nrES_Code,K$5,nrES_Final,"Yes"),""))</f>
        <v/>
      </c>
      <c r="L17" s="17">
        <f>IF(OR($B17="",L$5=""),"",IFERROR(SUMIFS(nrES_Rec,nrES_PID,$B17,nrES_Code,L$5,nrES_Final,"Yes"),""))</f>
        <v/>
      </c>
      <c r="M17" s="17">
        <f>IF(OR($B17="",M$5=""),"",IFERROR(SUMIFS(nrES_Rec,nrES_PID,$B17,nrES_Code,M$5,nrES_Final,"Yes"),""))</f>
        <v/>
      </c>
      <c r="N17" s="17">
        <f>IF(OR($B17="",N$5=""),"",IFERROR(SUMIFS(nrES_Rec,nrES_PID,$B17,nrES_Code,N$5,nrES_Final,"Yes"),""))</f>
        <v/>
      </c>
      <c r="O17" s="17">
        <f>IF(OR($B17="",O$5=""),"",IFERROR(SUMIFS(nrES_Rec,nrES_PID,$B17,nrES_Code,O$5,nrES_Final,"Yes"),""))</f>
        <v/>
      </c>
      <c r="P17" s="17">
        <f>IF(OR($B17="",P$5=""),"",IFERROR(SUMIFS(nrES_Rec,nrES_PID,$B17,nrES_Code,P$5,nrES_Final,"Yes"),""))</f>
        <v/>
      </c>
      <c r="Q17" s="17">
        <f>IF(OR($B17="",Q$5=""),"",IFERROR(SUMIFS(nrES_Rec,nrES_PID,$B17,nrES_Code,Q$5,nrES_Final,"Yes"),""))</f>
        <v/>
      </c>
      <c r="R17" s="17">
        <f>IF(OR($B17="",R$5=""),"",IFERROR(SUMIFS(nrES_Rec,nrES_PID,$B17,nrES_Code,R$5,nrES_Final,"Yes"),""))</f>
        <v/>
      </c>
      <c r="S17" s="17">
        <f>IF(OR($B17="",S$5=""),"",IFERROR(SUMIFS(nrES_Rec,nrES_PID,$B17,nrES_Code,S$5,nrES_Final,"Yes"),""))</f>
        <v/>
      </c>
      <c r="T17" s="17">
        <f>IF(OR($B17="",T$5=""),"",IFERROR(SUMIFS(nrES_Rec,nrES_PID,$B17,nrES_Code,T$5,nrES_Final,"Yes"),""))</f>
        <v/>
      </c>
      <c r="U17" s="17">
        <f>IF(OR($B17="",U$5=""),"",IFERROR(SUMIFS(nrES_Rec,nrES_PID,$B17,nrES_Code,U$5,nrES_Final,"Yes"),""))</f>
        <v/>
      </c>
      <c r="V17" s="17">
        <f>IF(OR($B17="",V$5=""),"",IFERROR(SUMIFS(nrES_Rec,nrES_PID,$B17,nrES_Code,V$5,nrES_Final,"Yes"),""))</f>
        <v/>
      </c>
      <c r="W17" s="17">
        <f>IF(OR($B17="",W$5=""),"",IFERROR(SUMIFS(nrES_Rec,nrES_PID,$B17,nrES_Code,W$5,nrES_Final,"Yes"),""))</f>
        <v/>
      </c>
      <c r="X17" s="17">
        <f>IF(OR($B17="",X$5=""),"",IFERROR(SUMIFS(nrES_Rec,nrES_PID,$B17,nrES_Code,X$5,nrES_Final,"Yes"),""))</f>
        <v/>
      </c>
      <c r="Y17" s="17">
        <f>IF(OR($B17="",Y$5=""),"",IFERROR(SUMIFS(nrES_Rec,nrES_PID,$B17,nrES_Code,Y$5,nrES_Final,"Yes"),""))</f>
        <v/>
      </c>
      <c r="Z17" s="17">
        <f>IF(OR($B17="",Z$5=""),"",IFERROR(SUMIFS(nrES_Rec,nrES_PID,$B17,nrES_Code,Z$5,nrES_Final,"Yes"),""))</f>
        <v/>
      </c>
      <c r="AA17" s="17">
        <f>IF(OR($B17="",AA$5=""),"",IFERROR(SUMIFS(nrES_Rec,nrES_PID,$B17,nrES_Code,AA$5,nrES_Final,"Yes"),""))</f>
        <v/>
      </c>
      <c r="AB17" s="17">
        <f>IF(OR($B17="",AB$5=""),"",IFERROR(SUMIFS(nrES_Rec,nrES_PID,$B17,nrES_Code,AB$5,nrES_Final,"Yes"),""))</f>
        <v/>
      </c>
      <c r="AC17" s="17">
        <f>IF($B17="","",sysGrades!$M17)</f>
        <v/>
      </c>
      <c r="AD17" s="17">
        <f>IF($B17="","",IFERROR(sysGrades!$U17,""))</f>
        <v/>
      </c>
    </row>
    <row r="18">
      <c r="B18" s="17">
        <f>IF(Cadets!$B18="","",Cadets!$B18)</f>
        <v/>
      </c>
      <c r="C18" s="17">
        <f>IF($B18="","",Cadets!$F18)</f>
        <v/>
      </c>
      <c r="D18" s="17">
        <f>IF(OR($B18="",D$5=""),"",IFERROR(SUMIFS(nrES_Rec,nrES_PID,$B18,nrES_Code,D$5,nrES_Final,"Yes"),""))</f>
        <v/>
      </c>
      <c r="E18" s="17">
        <f>IF(OR($B18="",E$5=""),"",IFERROR(SUMIFS(nrES_Rec,nrES_PID,$B18,nrES_Code,E$5,nrES_Final,"Yes"),""))</f>
        <v/>
      </c>
      <c r="F18" s="17">
        <f>IF(OR($B18="",F$5=""),"",IFERROR(SUMIFS(nrES_Rec,nrES_PID,$B18,nrES_Code,F$5,nrES_Final,"Yes"),""))</f>
        <v/>
      </c>
      <c r="G18" s="17">
        <f>IF(OR($B18="",G$5=""),"",IFERROR(SUMIFS(nrES_Rec,nrES_PID,$B18,nrES_Code,G$5,nrES_Final,"Yes"),""))</f>
        <v/>
      </c>
      <c r="H18" s="17">
        <f>IF(OR($B18="",H$5=""),"",IFERROR(SUMIFS(nrES_Rec,nrES_PID,$B18,nrES_Code,H$5,nrES_Final,"Yes"),""))</f>
        <v/>
      </c>
      <c r="I18" s="17">
        <f>IF(OR($B18="",I$5=""),"",IFERROR(SUMIFS(nrES_Rec,nrES_PID,$B18,nrES_Code,I$5,nrES_Final,"Yes"),""))</f>
        <v/>
      </c>
      <c r="J18" s="17">
        <f>IF(OR($B18="",J$5=""),"",IFERROR(SUMIFS(nrES_Rec,nrES_PID,$B18,nrES_Code,J$5,nrES_Final,"Yes"),""))</f>
        <v/>
      </c>
      <c r="K18" s="17">
        <f>IF(OR($B18="",K$5=""),"",IFERROR(SUMIFS(nrES_Rec,nrES_PID,$B18,nrES_Code,K$5,nrES_Final,"Yes"),""))</f>
        <v/>
      </c>
      <c r="L18" s="17">
        <f>IF(OR($B18="",L$5=""),"",IFERROR(SUMIFS(nrES_Rec,nrES_PID,$B18,nrES_Code,L$5,nrES_Final,"Yes"),""))</f>
        <v/>
      </c>
      <c r="M18" s="17">
        <f>IF(OR($B18="",M$5=""),"",IFERROR(SUMIFS(nrES_Rec,nrES_PID,$B18,nrES_Code,M$5,nrES_Final,"Yes"),""))</f>
        <v/>
      </c>
      <c r="N18" s="17">
        <f>IF(OR($B18="",N$5=""),"",IFERROR(SUMIFS(nrES_Rec,nrES_PID,$B18,nrES_Code,N$5,nrES_Final,"Yes"),""))</f>
        <v/>
      </c>
      <c r="O18" s="17">
        <f>IF(OR($B18="",O$5=""),"",IFERROR(SUMIFS(nrES_Rec,nrES_PID,$B18,nrES_Code,O$5,nrES_Final,"Yes"),""))</f>
        <v/>
      </c>
      <c r="P18" s="17">
        <f>IF(OR($B18="",P$5=""),"",IFERROR(SUMIFS(nrES_Rec,nrES_PID,$B18,nrES_Code,P$5,nrES_Final,"Yes"),""))</f>
        <v/>
      </c>
      <c r="Q18" s="17">
        <f>IF(OR($B18="",Q$5=""),"",IFERROR(SUMIFS(nrES_Rec,nrES_PID,$B18,nrES_Code,Q$5,nrES_Final,"Yes"),""))</f>
        <v/>
      </c>
      <c r="R18" s="17">
        <f>IF(OR($B18="",R$5=""),"",IFERROR(SUMIFS(nrES_Rec,nrES_PID,$B18,nrES_Code,R$5,nrES_Final,"Yes"),""))</f>
        <v/>
      </c>
      <c r="S18" s="17">
        <f>IF(OR($B18="",S$5=""),"",IFERROR(SUMIFS(nrES_Rec,nrES_PID,$B18,nrES_Code,S$5,nrES_Final,"Yes"),""))</f>
        <v/>
      </c>
      <c r="T18" s="17">
        <f>IF(OR($B18="",T$5=""),"",IFERROR(SUMIFS(nrES_Rec,nrES_PID,$B18,nrES_Code,T$5,nrES_Final,"Yes"),""))</f>
        <v/>
      </c>
      <c r="U18" s="17">
        <f>IF(OR($B18="",U$5=""),"",IFERROR(SUMIFS(nrES_Rec,nrES_PID,$B18,nrES_Code,U$5,nrES_Final,"Yes"),""))</f>
        <v/>
      </c>
      <c r="V18" s="17">
        <f>IF(OR($B18="",V$5=""),"",IFERROR(SUMIFS(nrES_Rec,nrES_PID,$B18,nrES_Code,V$5,nrES_Final,"Yes"),""))</f>
        <v/>
      </c>
      <c r="W18" s="17">
        <f>IF(OR($B18="",W$5=""),"",IFERROR(SUMIFS(nrES_Rec,nrES_PID,$B18,nrES_Code,W$5,nrES_Final,"Yes"),""))</f>
        <v/>
      </c>
      <c r="X18" s="17">
        <f>IF(OR($B18="",X$5=""),"",IFERROR(SUMIFS(nrES_Rec,nrES_PID,$B18,nrES_Code,X$5,nrES_Final,"Yes"),""))</f>
        <v/>
      </c>
      <c r="Y18" s="17">
        <f>IF(OR($B18="",Y$5=""),"",IFERROR(SUMIFS(nrES_Rec,nrES_PID,$B18,nrES_Code,Y$5,nrES_Final,"Yes"),""))</f>
        <v/>
      </c>
      <c r="Z18" s="17">
        <f>IF(OR($B18="",Z$5=""),"",IFERROR(SUMIFS(nrES_Rec,nrES_PID,$B18,nrES_Code,Z$5,nrES_Final,"Yes"),""))</f>
        <v/>
      </c>
      <c r="AA18" s="17">
        <f>IF(OR($B18="",AA$5=""),"",IFERROR(SUMIFS(nrES_Rec,nrES_PID,$B18,nrES_Code,AA$5,nrES_Final,"Yes"),""))</f>
        <v/>
      </c>
      <c r="AB18" s="17">
        <f>IF(OR($B18="",AB$5=""),"",IFERROR(SUMIFS(nrES_Rec,nrES_PID,$B18,nrES_Code,AB$5,nrES_Final,"Yes"),""))</f>
        <v/>
      </c>
      <c r="AC18" s="17">
        <f>IF($B18="","",sysGrades!$M18)</f>
        <v/>
      </c>
      <c r="AD18" s="17">
        <f>IF($B18="","",IFERROR(sysGrades!$U18,""))</f>
        <v/>
      </c>
    </row>
    <row r="19">
      <c r="B19" s="17">
        <f>IF(Cadets!$B19="","",Cadets!$B19)</f>
        <v/>
      </c>
      <c r="C19" s="17">
        <f>IF($B19="","",Cadets!$F19)</f>
        <v/>
      </c>
      <c r="D19" s="17">
        <f>IF(OR($B19="",D$5=""),"",IFERROR(SUMIFS(nrES_Rec,nrES_PID,$B19,nrES_Code,D$5,nrES_Final,"Yes"),""))</f>
        <v/>
      </c>
      <c r="E19" s="17">
        <f>IF(OR($B19="",E$5=""),"",IFERROR(SUMIFS(nrES_Rec,nrES_PID,$B19,nrES_Code,E$5,nrES_Final,"Yes"),""))</f>
        <v/>
      </c>
      <c r="F19" s="17">
        <f>IF(OR($B19="",F$5=""),"",IFERROR(SUMIFS(nrES_Rec,nrES_PID,$B19,nrES_Code,F$5,nrES_Final,"Yes"),""))</f>
        <v/>
      </c>
      <c r="G19" s="17">
        <f>IF(OR($B19="",G$5=""),"",IFERROR(SUMIFS(nrES_Rec,nrES_PID,$B19,nrES_Code,G$5,nrES_Final,"Yes"),""))</f>
        <v/>
      </c>
      <c r="H19" s="17">
        <f>IF(OR($B19="",H$5=""),"",IFERROR(SUMIFS(nrES_Rec,nrES_PID,$B19,nrES_Code,H$5,nrES_Final,"Yes"),""))</f>
        <v/>
      </c>
      <c r="I19" s="17">
        <f>IF(OR($B19="",I$5=""),"",IFERROR(SUMIFS(nrES_Rec,nrES_PID,$B19,nrES_Code,I$5,nrES_Final,"Yes"),""))</f>
        <v/>
      </c>
      <c r="J19" s="17">
        <f>IF(OR($B19="",J$5=""),"",IFERROR(SUMIFS(nrES_Rec,nrES_PID,$B19,nrES_Code,J$5,nrES_Final,"Yes"),""))</f>
        <v/>
      </c>
      <c r="K19" s="17">
        <f>IF(OR($B19="",K$5=""),"",IFERROR(SUMIFS(nrES_Rec,nrES_PID,$B19,nrES_Code,K$5,nrES_Final,"Yes"),""))</f>
        <v/>
      </c>
      <c r="L19" s="17">
        <f>IF(OR($B19="",L$5=""),"",IFERROR(SUMIFS(nrES_Rec,nrES_PID,$B19,nrES_Code,L$5,nrES_Final,"Yes"),""))</f>
        <v/>
      </c>
      <c r="M19" s="17">
        <f>IF(OR($B19="",M$5=""),"",IFERROR(SUMIFS(nrES_Rec,nrES_PID,$B19,nrES_Code,M$5,nrES_Final,"Yes"),""))</f>
        <v/>
      </c>
      <c r="N19" s="17">
        <f>IF(OR($B19="",N$5=""),"",IFERROR(SUMIFS(nrES_Rec,nrES_PID,$B19,nrES_Code,N$5,nrES_Final,"Yes"),""))</f>
        <v/>
      </c>
      <c r="O19" s="17">
        <f>IF(OR($B19="",O$5=""),"",IFERROR(SUMIFS(nrES_Rec,nrES_PID,$B19,nrES_Code,O$5,nrES_Final,"Yes"),""))</f>
        <v/>
      </c>
      <c r="P19" s="17">
        <f>IF(OR($B19="",P$5=""),"",IFERROR(SUMIFS(nrES_Rec,nrES_PID,$B19,nrES_Code,P$5,nrES_Final,"Yes"),""))</f>
        <v/>
      </c>
      <c r="Q19" s="17">
        <f>IF(OR($B19="",Q$5=""),"",IFERROR(SUMIFS(nrES_Rec,nrES_PID,$B19,nrES_Code,Q$5,nrES_Final,"Yes"),""))</f>
        <v/>
      </c>
      <c r="R19" s="17">
        <f>IF(OR($B19="",R$5=""),"",IFERROR(SUMIFS(nrES_Rec,nrES_PID,$B19,nrES_Code,R$5,nrES_Final,"Yes"),""))</f>
        <v/>
      </c>
      <c r="S19" s="17">
        <f>IF(OR($B19="",S$5=""),"",IFERROR(SUMIFS(nrES_Rec,nrES_PID,$B19,nrES_Code,S$5,nrES_Final,"Yes"),""))</f>
        <v/>
      </c>
      <c r="T19" s="17">
        <f>IF(OR($B19="",T$5=""),"",IFERROR(SUMIFS(nrES_Rec,nrES_PID,$B19,nrES_Code,T$5,nrES_Final,"Yes"),""))</f>
        <v/>
      </c>
      <c r="U19" s="17">
        <f>IF(OR($B19="",U$5=""),"",IFERROR(SUMIFS(nrES_Rec,nrES_PID,$B19,nrES_Code,U$5,nrES_Final,"Yes"),""))</f>
        <v/>
      </c>
      <c r="V19" s="17">
        <f>IF(OR($B19="",V$5=""),"",IFERROR(SUMIFS(nrES_Rec,nrES_PID,$B19,nrES_Code,V$5,nrES_Final,"Yes"),""))</f>
        <v/>
      </c>
      <c r="W19" s="17">
        <f>IF(OR($B19="",W$5=""),"",IFERROR(SUMIFS(nrES_Rec,nrES_PID,$B19,nrES_Code,W$5,nrES_Final,"Yes"),""))</f>
        <v/>
      </c>
      <c r="X19" s="17">
        <f>IF(OR($B19="",X$5=""),"",IFERROR(SUMIFS(nrES_Rec,nrES_PID,$B19,nrES_Code,X$5,nrES_Final,"Yes"),""))</f>
        <v/>
      </c>
      <c r="Y19" s="17">
        <f>IF(OR($B19="",Y$5=""),"",IFERROR(SUMIFS(nrES_Rec,nrES_PID,$B19,nrES_Code,Y$5,nrES_Final,"Yes"),""))</f>
        <v/>
      </c>
      <c r="Z19" s="17">
        <f>IF(OR($B19="",Z$5=""),"",IFERROR(SUMIFS(nrES_Rec,nrES_PID,$B19,nrES_Code,Z$5,nrES_Final,"Yes"),""))</f>
        <v/>
      </c>
      <c r="AA19" s="17">
        <f>IF(OR($B19="",AA$5=""),"",IFERROR(SUMIFS(nrES_Rec,nrES_PID,$B19,nrES_Code,AA$5,nrES_Final,"Yes"),""))</f>
        <v/>
      </c>
      <c r="AB19" s="17">
        <f>IF(OR($B19="",AB$5=""),"",IFERROR(SUMIFS(nrES_Rec,nrES_PID,$B19,nrES_Code,AB$5,nrES_Final,"Yes"),""))</f>
        <v/>
      </c>
      <c r="AC19" s="17">
        <f>IF($B19="","",sysGrades!$M19)</f>
        <v/>
      </c>
      <c r="AD19" s="17">
        <f>IF($B19="","",IFERROR(sysGrades!$U19,""))</f>
        <v/>
      </c>
    </row>
    <row r="20">
      <c r="B20" s="17">
        <f>IF(Cadets!$B20="","",Cadets!$B20)</f>
        <v/>
      </c>
      <c r="C20" s="17">
        <f>IF($B20="","",Cadets!$F20)</f>
        <v/>
      </c>
      <c r="D20" s="17">
        <f>IF(OR($B20="",D$5=""),"",IFERROR(SUMIFS(nrES_Rec,nrES_PID,$B20,nrES_Code,D$5,nrES_Final,"Yes"),""))</f>
        <v/>
      </c>
      <c r="E20" s="17">
        <f>IF(OR($B20="",E$5=""),"",IFERROR(SUMIFS(nrES_Rec,nrES_PID,$B20,nrES_Code,E$5,nrES_Final,"Yes"),""))</f>
        <v/>
      </c>
      <c r="F20" s="17">
        <f>IF(OR($B20="",F$5=""),"",IFERROR(SUMIFS(nrES_Rec,nrES_PID,$B20,nrES_Code,F$5,nrES_Final,"Yes"),""))</f>
        <v/>
      </c>
      <c r="G20" s="17">
        <f>IF(OR($B20="",G$5=""),"",IFERROR(SUMIFS(nrES_Rec,nrES_PID,$B20,nrES_Code,G$5,nrES_Final,"Yes"),""))</f>
        <v/>
      </c>
      <c r="H20" s="17">
        <f>IF(OR($B20="",H$5=""),"",IFERROR(SUMIFS(nrES_Rec,nrES_PID,$B20,nrES_Code,H$5,nrES_Final,"Yes"),""))</f>
        <v/>
      </c>
      <c r="I20" s="17">
        <f>IF(OR($B20="",I$5=""),"",IFERROR(SUMIFS(nrES_Rec,nrES_PID,$B20,nrES_Code,I$5,nrES_Final,"Yes"),""))</f>
        <v/>
      </c>
      <c r="J20" s="17">
        <f>IF(OR($B20="",J$5=""),"",IFERROR(SUMIFS(nrES_Rec,nrES_PID,$B20,nrES_Code,J$5,nrES_Final,"Yes"),""))</f>
        <v/>
      </c>
      <c r="K20" s="17">
        <f>IF(OR($B20="",K$5=""),"",IFERROR(SUMIFS(nrES_Rec,nrES_PID,$B20,nrES_Code,K$5,nrES_Final,"Yes"),""))</f>
        <v/>
      </c>
      <c r="L20" s="17">
        <f>IF(OR($B20="",L$5=""),"",IFERROR(SUMIFS(nrES_Rec,nrES_PID,$B20,nrES_Code,L$5,nrES_Final,"Yes"),""))</f>
        <v/>
      </c>
      <c r="M20" s="17">
        <f>IF(OR($B20="",M$5=""),"",IFERROR(SUMIFS(nrES_Rec,nrES_PID,$B20,nrES_Code,M$5,nrES_Final,"Yes"),""))</f>
        <v/>
      </c>
      <c r="N20" s="17">
        <f>IF(OR($B20="",N$5=""),"",IFERROR(SUMIFS(nrES_Rec,nrES_PID,$B20,nrES_Code,N$5,nrES_Final,"Yes"),""))</f>
        <v/>
      </c>
      <c r="O20" s="17">
        <f>IF(OR($B20="",O$5=""),"",IFERROR(SUMIFS(nrES_Rec,nrES_PID,$B20,nrES_Code,O$5,nrES_Final,"Yes"),""))</f>
        <v/>
      </c>
      <c r="P20" s="17">
        <f>IF(OR($B20="",P$5=""),"",IFERROR(SUMIFS(nrES_Rec,nrES_PID,$B20,nrES_Code,P$5,nrES_Final,"Yes"),""))</f>
        <v/>
      </c>
      <c r="Q20" s="17">
        <f>IF(OR($B20="",Q$5=""),"",IFERROR(SUMIFS(nrES_Rec,nrES_PID,$B20,nrES_Code,Q$5,nrES_Final,"Yes"),""))</f>
        <v/>
      </c>
      <c r="R20" s="17">
        <f>IF(OR($B20="",R$5=""),"",IFERROR(SUMIFS(nrES_Rec,nrES_PID,$B20,nrES_Code,R$5,nrES_Final,"Yes"),""))</f>
        <v/>
      </c>
      <c r="S20" s="17">
        <f>IF(OR($B20="",S$5=""),"",IFERROR(SUMIFS(nrES_Rec,nrES_PID,$B20,nrES_Code,S$5,nrES_Final,"Yes"),""))</f>
        <v/>
      </c>
      <c r="T20" s="17">
        <f>IF(OR($B20="",T$5=""),"",IFERROR(SUMIFS(nrES_Rec,nrES_PID,$B20,nrES_Code,T$5,nrES_Final,"Yes"),""))</f>
        <v/>
      </c>
      <c r="U20" s="17">
        <f>IF(OR($B20="",U$5=""),"",IFERROR(SUMIFS(nrES_Rec,nrES_PID,$B20,nrES_Code,U$5,nrES_Final,"Yes"),""))</f>
        <v/>
      </c>
      <c r="V20" s="17">
        <f>IF(OR($B20="",V$5=""),"",IFERROR(SUMIFS(nrES_Rec,nrES_PID,$B20,nrES_Code,V$5,nrES_Final,"Yes"),""))</f>
        <v/>
      </c>
      <c r="W20" s="17">
        <f>IF(OR($B20="",W$5=""),"",IFERROR(SUMIFS(nrES_Rec,nrES_PID,$B20,nrES_Code,W$5,nrES_Final,"Yes"),""))</f>
        <v/>
      </c>
      <c r="X20" s="17">
        <f>IF(OR($B20="",X$5=""),"",IFERROR(SUMIFS(nrES_Rec,nrES_PID,$B20,nrES_Code,X$5,nrES_Final,"Yes"),""))</f>
        <v/>
      </c>
      <c r="Y20" s="17">
        <f>IF(OR($B20="",Y$5=""),"",IFERROR(SUMIFS(nrES_Rec,nrES_PID,$B20,nrES_Code,Y$5,nrES_Final,"Yes"),""))</f>
        <v/>
      </c>
      <c r="Z20" s="17">
        <f>IF(OR($B20="",Z$5=""),"",IFERROR(SUMIFS(nrES_Rec,nrES_PID,$B20,nrES_Code,Z$5,nrES_Final,"Yes"),""))</f>
        <v/>
      </c>
      <c r="AA20" s="17">
        <f>IF(OR($B20="",AA$5=""),"",IFERROR(SUMIFS(nrES_Rec,nrES_PID,$B20,nrES_Code,AA$5,nrES_Final,"Yes"),""))</f>
        <v/>
      </c>
      <c r="AB20" s="17">
        <f>IF(OR($B20="",AB$5=""),"",IFERROR(SUMIFS(nrES_Rec,nrES_PID,$B20,nrES_Code,AB$5,nrES_Final,"Yes"),""))</f>
        <v/>
      </c>
      <c r="AC20" s="17">
        <f>IF($B20="","",sysGrades!$M20)</f>
        <v/>
      </c>
      <c r="AD20" s="17">
        <f>IF($B20="","",IFERROR(sysGrades!$U20,""))</f>
        <v/>
      </c>
    </row>
    <row r="21">
      <c r="B21" s="17">
        <f>IF(Cadets!$B21="","",Cadets!$B21)</f>
        <v/>
      </c>
      <c r="C21" s="17">
        <f>IF($B21="","",Cadets!$F21)</f>
        <v/>
      </c>
      <c r="D21" s="17">
        <f>IF(OR($B21="",D$5=""),"",IFERROR(SUMIFS(nrES_Rec,nrES_PID,$B21,nrES_Code,D$5,nrES_Final,"Yes"),""))</f>
        <v/>
      </c>
      <c r="E21" s="17">
        <f>IF(OR($B21="",E$5=""),"",IFERROR(SUMIFS(nrES_Rec,nrES_PID,$B21,nrES_Code,E$5,nrES_Final,"Yes"),""))</f>
        <v/>
      </c>
      <c r="F21" s="17">
        <f>IF(OR($B21="",F$5=""),"",IFERROR(SUMIFS(nrES_Rec,nrES_PID,$B21,nrES_Code,F$5,nrES_Final,"Yes"),""))</f>
        <v/>
      </c>
      <c r="G21" s="17">
        <f>IF(OR($B21="",G$5=""),"",IFERROR(SUMIFS(nrES_Rec,nrES_PID,$B21,nrES_Code,G$5,nrES_Final,"Yes"),""))</f>
        <v/>
      </c>
      <c r="H21" s="17">
        <f>IF(OR($B21="",H$5=""),"",IFERROR(SUMIFS(nrES_Rec,nrES_PID,$B21,nrES_Code,H$5,nrES_Final,"Yes"),""))</f>
        <v/>
      </c>
      <c r="I21" s="17">
        <f>IF(OR($B21="",I$5=""),"",IFERROR(SUMIFS(nrES_Rec,nrES_PID,$B21,nrES_Code,I$5,nrES_Final,"Yes"),""))</f>
        <v/>
      </c>
      <c r="J21" s="17">
        <f>IF(OR($B21="",J$5=""),"",IFERROR(SUMIFS(nrES_Rec,nrES_PID,$B21,nrES_Code,J$5,nrES_Final,"Yes"),""))</f>
        <v/>
      </c>
      <c r="K21" s="17">
        <f>IF(OR($B21="",K$5=""),"",IFERROR(SUMIFS(nrES_Rec,nrES_PID,$B21,nrES_Code,K$5,nrES_Final,"Yes"),""))</f>
        <v/>
      </c>
      <c r="L21" s="17">
        <f>IF(OR($B21="",L$5=""),"",IFERROR(SUMIFS(nrES_Rec,nrES_PID,$B21,nrES_Code,L$5,nrES_Final,"Yes"),""))</f>
        <v/>
      </c>
      <c r="M21" s="17">
        <f>IF(OR($B21="",M$5=""),"",IFERROR(SUMIFS(nrES_Rec,nrES_PID,$B21,nrES_Code,M$5,nrES_Final,"Yes"),""))</f>
        <v/>
      </c>
      <c r="N21" s="17">
        <f>IF(OR($B21="",N$5=""),"",IFERROR(SUMIFS(nrES_Rec,nrES_PID,$B21,nrES_Code,N$5,nrES_Final,"Yes"),""))</f>
        <v/>
      </c>
      <c r="O21" s="17">
        <f>IF(OR($B21="",O$5=""),"",IFERROR(SUMIFS(nrES_Rec,nrES_PID,$B21,nrES_Code,O$5,nrES_Final,"Yes"),""))</f>
        <v/>
      </c>
      <c r="P21" s="17">
        <f>IF(OR($B21="",P$5=""),"",IFERROR(SUMIFS(nrES_Rec,nrES_PID,$B21,nrES_Code,P$5,nrES_Final,"Yes"),""))</f>
        <v/>
      </c>
      <c r="Q21" s="17">
        <f>IF(OR($B21="",Q$5=""),"",IFERROR(SUMIFS(nrES_Rec,nrES_PID,$B21,nrES_Code,Q$5,nrES_Final,"Yes"),""))</f>
        <v/>
      </c>
      <c r="R21" s="17">
        <f>IF(OR($B21="",R$5=""),"",IFERROR(SUMIFS(nrES_Rec,nrES_PID,$B21,nrES_Code,R$5,nrES_Final,"Yes"),""))</f>
        <v/>
      </c>
      <c r="S21" s="17">
        <f>IF(OR($B21="",S$5=""),"",IFERROR(SUMIFS(nrES_Rec,nrES_PID,$B21,nrES_Code,S$5,nrES_Final,"Yes"),""))</f>
        <v/>
      </c>
      <c r="T21" s="17">
        <f>IF(OR($B21="",T$5=""),"",IFERROR(SUMIFS(nrES_Rec,nrES_PID,$B21,nrES_Code,T$5,nrES_Final,"Yes"),""))</f>
        <v/>
      </c>
      <c r="U21" s="17">
        <f>IF(OR($B21="",U$5=""),"",IFERROR(SUMIFS(nrES_Rec,nrES_PID,$B21,nrES_Code,U$5,nrES_Final,"Yes"),""))</f>
        <v/>
      </c>
      <c r="V21" s="17">
        <f>IF(OR($B21="",V$5=""),"",IFERROR(SUMIFS(nrES_Rec,nrES_PID,$B21,nrES_Code,V$5,nrES_Final,"Yes"),""))</f>
        <v/>
      </c>
      <c r="W21" s="17">
        <f>IF(OR($B21="",W$5=""),"",IFERROR(SUMIFS(nrES_Rec,nrES_PID,$B21,nrES_Code,W$5,nrES_Final,"Yes"),""))</f>
        <v/>
      </c>
      <c r="X21" s="17">
        <f>IF(OR($B21="",X$5=""),"",IFERROR(SUMIFS(nrES_Rec,nrES_PID,$B21,nrES_Code,X$5,nrES_Final,"Yes"),""))</f>
        <v/>
      </c>
      <c r="Y21" s="17">
        <f>IF(OR($B21="",Y$5=""),"",IFERROR(SUMIFS(nrES_Rec,nrES_PID,$B21,nrES_Code,Y$5,nrES_Final,"Yes"),""))</f>
        <v/>
      </c>
      <c r="Z21" s="17">
        <f>IF(OR($B21="",Z$5=""),"",IFERROR(SUMIFS(nrES_Rec,nrES_PID,$B21,nrES_Code,Z$5,nrES_Final,"Yes"),""))</f>
        <v/>
      </c>
      <c r="AA21" s="17">
        <f>IF(OR($B21="",AA$5=""),"",IFERROR(SUMIFS(nrES_Rec,nrES_PID,$B21,nrES_Code,AA$5,nrES_Final,"Yes"),""))</f>
        <v/>
      </c>
      <c r="AB21" s="17">
        <f>IF(OR($B21="",AB$5=""),"",IFERROR(SUMIFS(nrES_Rec,nrES_PID,$B21,nrES_Code,AB$5,nrES_Final,"Yes"),""))</f>
        <v/>
      </c>
      <c r="AC21" s="17">
        <f>IF($B21="","",sysGrades!$M21)</f>
        <v/>
      </c>
      <c r="AD21" s="17">
        <f>IF($B21="","",IFERROR(sysGrades!$U21,""))</f>
        <v/>
      </c>
    </row>
    <row r="22">
      <c r="B22" s="17">
        <f>IF(Cadets!$B22="","",Cadets!$B22)</f>
        <v/>
      </c>
      <c r="C22" s="17">
        <f>IF($B22="","",Cadets!$F22)</f>
        <v/>
      </c>
      <c r="D22" s="17">
        <f>IF(OR($B22="",D$5=""),"",IFERROR(SUMIFS(nrES_Rec,nrES_PID,$B22,nrES_Code,D$5,nrES_Final,"Yes"),""))</f>
        <v/>
      </c>
      <c r="E22" s="17">
        <f>IF(OR($B22="",E$5=""),"",IFERROR(SUMIFS(nrES_Rec,nrES_PID,$B22,nrES_Code,E$5,nrES_Final,"Yes"),""))</f>
        <v/>
      </c>
      <c r="F22" s="17">
        <f>IF(OR($B22="",F$5=""),"",IFERROR(SUMIFS(nrES_Rec,nrES_PID,$B22,nrES_Code,F$5,nrES_Final,"Yes"),""))</f>
        <v/>
      </c>
      <c r="G22" s="17">
        <f>IF(OR($B22="",G$5=""),"",IFERROR(SUMIFS(nrES_Rec,nrES_PID,$B22,nrES_Code,G$5,nrES_Final,"Yes"),""))</f>
        <v/>
      </c>
      <c r="H22" s="17">
        <f>IF(OR($B22="",H$5=""),"",IFERROR(SUMIFS(nrES_Rec,nrES_PID,$B22,nrES_Code,H$5,nrES_Final,"Yes"),""))</f>
        <v/>
      </c>
      <c r="I22" s="17">
        <f>IF(OR($B22="",I$5=""),"",IFERROR(SUMIFS(nrES_Rec,nrES_PID,$B22,nrES_Code,I$5,nrES_Final,"Yes"),""))</f>
        <v/>
      </c>
      <c r="J22" s="17">
        <f>IF(OR($B22="",J$5=""),"",IFERROR(SUMIFS(nrES_Rec,nrES_PID,$B22,nrES_Code,J$5,nrES_Final,"Yes"),""))</f>
        <v/>
      </c>
      <c r="K22" s="17">
        <f>IF(OR($B22="",K$5=""),"",IFERROR(SUMIFS(nrES_Rec,nrES_PID,$B22,nrES_Code,K$5,nrES_Final,"Yes"),""))</f>
        <v/>
      </c>
      <c r="L22" s="17">
        <f>IF(OR($B22="",L$5=""),"",IFERROR(SUMIFS(nrES_Rec,nrES_PID,$B22,nrES_Code,L$5,nrES_Final,"Yes"),""))</f>
        <v/>
      </c>
      <c r="M22" s="17">
        <f>IF(OR($B22="",M$5=""),"",IFERROR(SUMIFS(nrES_Rec,nrES_PID,$B22,nrES_Code,M$5,nrES_Final,"Yes"),""))</f>
        <v/>
      </c>
      <c r="N22" s="17">
        <f>IF(OR($B22="",N$5=""),"",IFERROR(SUMIFS(nrES_Rec,nrES_PID,$B22,nrES_Code,N$5,nrES_Final,"Yes"),""))</f>
        <v/>
      </c>
      <c r="O22" s="17">
        <f>IF(OR($B22="",O$5=""),"",IFERROR(SUMIFS(nrES_Rec,nrES_PID,$B22,nrES_Code,O$5,nrES_Final,"Yes"),""))</f>
        <v/>
      </c>
      <c r="P22" s="17">
        <f>IF(OR($B22="",P$5=""),"",IFERROR(SUMIFS(nrES_Rec,nrES_PID,$B22,nrES_Code,P$5,nrES_Final,"Yes"),""))</f>
        <v/>
      </c>
      <c r="Q22" s="17">
        <f>IF(OR($B22="",Q$5=""),"",IFERROR(SUMIFS(nrES_Rec,nrES_PID,$B22,nrES_Code,Q$5,nrES_Final,"Yes"),""))</f>
        <v/>
      </c>
      <c r="R22" s="17">
        <f>IF(OR($B22="",R$5=""),"",IFERROR(SUMIFS(nrES_Rec,nrES_PID,$B22,nrES_Code,R$5,nrES_Final,"Yes"),""))</f>
        <v/>
      </c>
      <c r="S22" s="17">
        <f>IF(OR($B22="",S$5=""),"",IFERROR(SUMIFS(nrES_Rec,nrES_PID,$B22,nrES_Code,S$5,nrES_Final,"Yes"),""))</f>
        <v/>
      </c>
      <c r="T22" s="17">
        <f>IF(OR($B22="",T$5=""),"",IFERROR(SUMIFS(nrES_Rec,nrES_PID,$B22,nrES_Code,T$5,nrES_Final,"Yes"),""))</f>
        <v/>
      </c>
      <c r="U22" s="17">
        <f>IF(OR($B22="",U$5=""),"",IFERROR(SUMIFS(nrES_Rec,nrES_PID,$B22,nrES_Code,U$5,nrES_Final,"Yes"),""))</f>
        <v/>
      </c>
      <c r="V22" s="17">
        <f>IF(OR($B22="",V$5=""),"",IFERROR(SUMIFS(nrES_Rec,nrES_PID,$B22,nrES_Code,V$5,nrES_Final,"Yes"),""))</f>
        <v/>
      </c>
      <c r="W22" s="17">
        <f>IF(OR($B22="",W$5=""),"",IFERROR(SUMIFS(nrES_Rec,nrES_PID,$B22,nrES_Code,W$5,nrES_Final,"Yes"),""))</f>
        <v/>
      </c>
      <c r="X22" s="17">
        <f>IF(OR($B22="",X$5=""),"",IFERROR(SUMIFS(nrES_Rec,nrES_PID,$B22,nrES_Code,X$5,nrES_Final,"Yes"),""))</f>
        <v/>
      </c>
      <c r="Y22" s="17">
        <f>IF(OR($B22="",Y$5=""),"",IFERROR(SUMIFS(nrES_Rec,nrES_PID,$B22,nrES_Code,Y$5,nrES_Final,"Yes"),""))</f>
        <v/>
      </c>
      <c r="Z22" s="17">
        <f>IF(OR($B22="",Z$5=""),"",IFERROR(SUMIFS(nrES_Rec,nrES_PID,$B22,nrES_Code,Z$5,nrES_Final,"Yes"),""))</f>
        <v/>
      </c>
      <c r="AA22" s="17">
        <f>IF(OR($B22="",AA$5=""),"",IFERROR(SUMIFS(nrES_Rec,nrES_PID,$B22,nrES_Code,AA$5,nrES_Final,"Yes"),""))</f>
        <v/>
      </c>
      <c r="AB22" s="17">
        <f>IF(OR($B22="",AB$5=""),"",IFERROR(SUMIFS(nrES_Rec,nrES_PID,$B22,nrES_Code,AB$5,nrES_Final,"Yes"),""))</f>
        <v/>
      </c>
      <c r="AC22" s="17">
        <f>IF($B22="","",sysGrades!$M22)</f>
        <v/>
      </c>
      <c r="AD22" s="17">
        <f>IF($B22="","",IFERROR(sysGrades!$U22,""))</f>
        <v/>
      </c>
    </row>
    <row r="23">
      <c r="B23" s="17">
        <f>IF(Cadets!$B23="","",Cadets!$B23)</f>
        <v/>
      </c>
      <c r="C23" s="17">
        <f>IF($B23="","",Cadets!$F23)</f>
        <v/>
      </c>
      <c r="D23" s="17">
        <f>IF(OR($B23="",D$5=""),"",IFERROR(SUMIFS(nrES_Rec,nrES_PID,$B23,nrES_Code,D$5,nrES_Final,"Yes"),""))</f>
        <v/>
      </c>
      <c r="E23" s="17">
        <f>IF(OR($B23="",E$5=""),"",IFERROR(SUMIFS(nrES_Rec,nrES_PID,$B23,nrES_Code,E$5,nrES_Final,"Yes"),""))</f>
        <v/>
      </c>
      <c r="F23" s="17">
        <f>IF(OR($B23="",F$5=""),"",IFERROR(SUMIFS(nrES_Rec,nrES_PID,$B23,nrES_Code,F$5,nrES_Final,"Yes"),""))</f>
        <v/>
      </c>
      <c r="G23" s="17">
        <f>IF(OR($B23="",G$5=""),"",IFERROR(SUMIFS(nrES_Rec,nrES_PID,$B23,nrES_Code,G$5,nrES_Final,"Yes"),""))</f>
        <v/>
      </c>
      <c r="H23" s="17">
        <f>IF(OR($B23="",H$5=""),"",IFERROR(SUMIFS(nrES_Rec,nrES_PID,$B23,nrES_Code,H$5,nrES_Final,"Yes"),""))</f>
        <v/>
      </c>
      <c r="I23" s="17">
        <f>IF(OR($B23="",I$5=""),"",IFERROR(SUMIFS(nrES_Rec,nrES_PID,$B23,nrES_Code,I$5,nrES_Final,"Yes"),""))</f>
        <v/>
      </c>
      <c r="J23" s="17">
        <f>IF(OR($B23="",J$5=""),"",IFERROR(SUMIFS(nrES_Rec,nrES_PID,$B23,nrES_Code,J$5,nrES_Final,"Yes"),""))</f>
        <v/>
      </c>
      <c r="K23" s="17">
        <f>IF(OR($B23="",K$5=""),"",IFERROR(SUMIFS(nrES_Rec,nrES_PID,$B23,nrES_Code,K$5,nrES_Final,"Yes"),""))</f>
        <v/>
      </c>
      <c r="L23" s="17">
        <f>IF(OR($B23="",L$5=""),"",IFERROR(SUMIFS(nrES_Rec,nrES_PID,$B23,nrES_Code,L$5,nrES_Final,"Yes"),""))</f>
        <v/>
      </c>
      <c r="M23" s="17">
        <f>IF(OR($B23="",M$5=""),"",IFERROR(SUMIFS(nrES_Rec,nrES_PID,$B23,nrES_Code,M$5,nrES_Final,"Yes"),""))</f>
        <v/>
      </c>
      <c r="N23" s="17">
        <f>IF(OR($B23="",N$5=""),"",IFERROR(SUMIFS(nrES_Rec,nrES_PID,$B23,nrES_Code,N$5,nrES_Final,"Yes"),""))</f>
        <v/>
      </c>
      <c r="O23" s="17">
        <f>IF(OR($B23="",O$5=""),"",IFERROR(SUMIFS(nrES_Rec,nrES_PID,$B23,nrES_Code,O$5,nrES_Final,"Yes"),""))</f>
        <v/>
      </c>
      <c r="P23" s="17">
        <f>IF(OR($B23="",P$5=""),"",IFERROR(SUMIFS(nrES_Rec,nrES_PID,$B23,nrES_Code,P$5,nrES_Final,"Yes"),""))</f>
        <v/>
      </c>
      <c r="Q23" s="17">
        <f>IF(OR($B23="",Q$5=""),"",IFERROR(SUMIFS(nrES_Rec,nrES_PID,$B23,nrES_Code,Q$5,nrES_Final,"Yes"),""))</f>
        <v/>
      </c>
      <c r="R23" s="17">
        <f>IF(OR($B23="",R$5=""),"",IFERROR(SUMIFS(nrES_Rec,nrES_PID,$B23,nrES_Code,R$5,nrES_Final,"Yes"),""))</f>
        <v/>
      </c>
      <c r="S23" s="17">
        <f>IF(OR($B23="",S$5=""),"",IFERROR(SUMIFS(nrES_Rec,nrES_PID,$B23,nrES_Code,S$5,nrES_Final,"Yes"),""))</f>
        <v/>
      </c>
      <c r="T23" s="17">
        <f>IF(OR($B23="",T$5=""),"",IFERROR(SUMIFS(nrES_Rec,nrES_PID,$B23,nrES_Code,T$5,nrES_Final,"Yes"),""))</f>
        <v/>
      </c>
      <c r="U23" s="17">
        <f>IF(OR($B23="",U$5=""),"",IFERROR(SUMIFS(nrES_Rec,nrES_PID,$B23,nrES_Code,U$5,nrES_Final,"Yes"),""))</f>
        <v/>
      </c>
      <c r="V23" s="17">
        <f>IF(OR($B23="",V$5=""),"",IFERROR(SUMIFS(nrES_Rec,nrES_PID,$B23,nrES_Code,V$5,nrES_Final,"Yes"),""))</f>
        <v/>
      </c>
      <c r="W23" s="17">
        <f>IF(OR($B23="",W$5=""),"",IFERROR(SUMIFS(nrES_Rec,nrES_PID,$B23,nrES_Code,W$5,nrES_Final,"Yes"),""))</f>
        <v/>
      </c>
      <c r="X23" s="17">
        <f>IF(OR($B23="",X$5=""),"",IFERROR(SUMIFS(nrES_Rec,nrES_PID,$B23,nrES_Code,X$5,nrES_Final,"Yes"),""))</f>
        <v/>
      </c>
      <c r="Y23" s="17">
        <f>IF(OR($B23="",Y$5=""),"",IFERROR(SUMIFS(nrES_Rec,nrES_PID,$B23,nrES_Code,Y$5,nrES_Final,"Yes"),""))</f>
        <v/>
      </c>
      <c r="Z23" s="17">
        <f>IF(OR($B23="",Z$5=""),"",IFERROR(SUMIFS(nrES_Rec,nrES_PID,$B23,nrES_Code,Z$5,nrES_Final,"Yes"),""))</f>
        <v/>
      </c>
      <c r="AA23" s="17">
        <f>IF(OR($B23="",AA$5=""),"",IFERROR(SUMIFS(nrES_Rec,nrES_PID,$B23,nrES_Code,AA$5,nrES_Final,"Yes"),""))</f>
        <v/>
      </c>
      <c r="AB23" s="17">
        <f>IF(OR($B23="",AB$5=""),"",IFERROR(SUMIFS(nrES_Rec,nrES_PID,$B23,nrES_Code,AB$5,nrES_Final,"Yes"),""))</f>
        <v/>
      </c>
      <c r="AC23" s="17">
        <f>IF($B23="","",sysGrades!$M23)</f>
        <v/>
      </c>
      <c r="AD23" s="17">
        <f>IF($B23="","",IFERROR(sysGrades!$U23,""))</f>
        <v/>
      </c>
    </row>
    <row r="24">
      <c r="B24" s="17">
        <f>IF(Cadets!$B24="","",Cadets!$B24)</f>
        <v/>
      </c>
      <c r="C24" s="17">
        <f>IF($B24="","",Cadets!$F24)</f>
        <v/>
      </c>
      <c r="D24" s="17">
        <f>IF(OR($B24="",D$5=""),"",IFERROR(SUMIFS(nrES_Rec,nrES_PID,$B24,nrES_Code,D$5,nrES_Final,"Yes"),""))</f>
        <v/>
      </c>
      <c r="E24" s="17">
        <f>IF(OR($B24="",E$5=""),"",IFERROR(SUMIFS(nrES_Rec,nrES_PID,$B24,nrES_Code,E$5,nrES_Final,"Yes"),""))</f>
        <v/>
      </c>
      <c r="F24" s="17">
        <f>IF(OR($B24="",F$5=""),"",IFERROR(SUMIFS(nrES_Rec,nrES_PID,$B24,nrES_Code,F$5,nrES_Final,"Yes"),""))</f>
        <v/>
      </c>
      <c r="G24" s="17">
        <f>IF(OR($B24="",G$5=""),"",IFERROR(SUMIFS(nrES_Rec,nrES_PID,$B24,nrES_Code,G$5,nrES_Final,"Yes"),""))</f>
        <v/>
      </c>
      <c r="H24" s="17">
        <f>IF(OR($B24="",H$5=""),"",IFERROR(SUMIFS(nrES_Rec,nrES_PID,$B24,nrES_Code,H$5,nrES_Final,"Yes"),""))</f>
        <v/>
      </c>
      <c r="I24" s="17">
        <f>IF(OR($B24="",I$5=""),"",IFERROR(SUMIFS(nrES_Rec,nrES_PID,$B24,nrES_Code,I$5,nrES_Final,"Yes"),""))</f>
        <v/>
      </c>
      <c r="J24" s="17">
        <f>IF(OR($B24="",J$5=""),"",IFERROR(SUMIFS(nrES_Rec,nrES_PID,$B24,nrES_Code,J$5,nrES_Final,"Yes"),""))</f>
        <v/>
      </c>
      <c r="K24" s="17">
        <f>IF(OR($B24="",K$5=""),"",IFERROR(SUMIFS(nrES_Rec,nrES_PID,$B24,nrES_Code,K$5,nrES_Final,"Yes"),""))</f>
        <v/>
      </c>
      <c r="L24" s="17">
        <f>IF(OR($B24="",L$5=""),"",IFERROR(SUMIFS(nrES_Rec,nrES_PID,$B24,nrES_Code,L$5,nrES_Final,"Yes"),""))</f>
        <v/>
      </c>
      <c r="M24" s="17">
        <f>IF(OR($B24="",M$5=""),"",IFERROR(SUMIFS(nrES_Rec,nrES_PID,$B24,nrES_Code,M$5,nrES_Final,"Yes"),""))</f>
        <v/>
      </c>
      <c r="N24" s="17">
        <f>IF(OR($B24="",N$5=""),"",IFERROR(SUMIFS(nrES_Rec,nrES_PID,$B24,nrES_Code,N$5,nrES_Final,"Yes"),""))</f>
        <v/>
      </c>
      <c r="O24" s="17">
        <f>IF(OR($B24="",O$5=""),"",IFERROR(SUMIFS(nrES_Rec,nrES_PID,$B24,nrES_Code,O$5,nrES_Final,"Yes"),""))</f>
        <v/>
      </c>
      <c r="P24" s="17">
        <f>IF(OR($B24="",P$5=""),"",IFERROR(SUMIFS(nrES_Rec,nrES_PID,$B24,nrES_Code,P$5,nrES_Final,"Yes"),""))</f>
        <v/>
      </c>
      <c r="Q24" s="17">
        <f>IF(OR($B24="",Q$5=""),"",IFERROR(SUMIFS(nrES_Rec,nrES_PID,$B24,nrES_Code,Q$5,nrES_Final,"Yes"),""))</f>
        <v/>
      </c>
      <c r="R24" s="17">
        <f>IF(OR($B24="",R$5=""),"",IFERROR(SUMIFS(nrES_Rec,nrES_PID,$B24,nrES_Code,R$5,nrES_Final,"Yes"),""))</f>
        <v/>
      </c>
      <c r="S24" s="17">
        <f>IF(OR($B24="",S$5=""),"",IFERROR(SUMIFS(nrES_Rec,nrES_PID,$B24,nrES_Code,S$5,nrES_Final,"Yes"),""))</f>
        <v/>
      </c>
      <c r="T24" s="17">
        <f>IF(OR($B24="",T$5=""),"",IFERROR(SUMIFS(nrES_Rec,nrES_PID,$B24,nrES_Code,T$5,nrES_Final,"Yes"),""))</f>
        <v/>
      </c>
      <c r="U24" s="17">
        <f>IF(OR($B24="",U$5=""),"",IFERROR(SUMIFS(nrES_Rec,nrES_PID,$B24,nrES_Code,U$5,nrES_Final,"Yes"),""))</f>
        <v/>
      </c>
      <c r="V24" s="17">
        <f>IF(OR($B24="",V$5=""),"",IFERROR(SUMIFS(nrES_Rec,nrES_PID,$B24,nrES_Code,V$5,nrES_Final,"Yes"),""))</f>
        <v/>
      </c>
      <c r="W24" s="17">
        <f>IF(OR($B24="",W$5=""),"",IFERROR(SUMIFS(nrES_Rec,nrES_PID,$B24,nrES_Code,W$5,nrES_Final,"Yes"),""))</f>
        <v/>
      </c>
      <c r="X24" s="17">
        <f>IF(OR($B24="",X$5=""),"",IFERROR(SUMIFS(nrES_Rec,nrES_PID,$B24,nrES_Code,X$5,nrES_Final,"Yes"),""))</f>
        <v/>
      </c>
      <c r="Y24" s="17">
        <f>IF(OR($B24="",Y$5=""),"",IFERROR(SUMIFS(nrES_Rec,nrES_PID,$B24,nrES_Code,Y$5,nrES_Final,"Yes"),""))</f>
        <v/>
      </c>
      <c r="Z24" s="17">
        <f>IF(OR($B24="",Z$5=""),"",IFERROR(SUMIFS(nrES_Rec,nrES_PID,$B24,nrES_Code,Z$5,nrES_Final,"Yes"),""))</f>
        <v/>
      </c>
      <c r="AA24" s="17">
        <f>IF(OR($B24="",AA$5=""),"",IFERROR(SUMIFS(nrES_Rec,nrES_PID,$B24,nrES_Code,AA$5,nrES_Final,"Yes"),""))</f>
        <v/>
      </c>
      <c r="AB24" s="17">
        <f>IF(OR($B24="",AB$5=""),"",IFERROR(SUMIFS(nrES_Rec,nrES_PID,$B24,nrES_Code,AB$5,nrES_Final,"Yes"),""))</f>
        <v/>
      </c>
      <c r="AC24" s="17">
        <f>IF($B24="","",sysGrades!$M24)</f>
        <v/>
      </c>
      <c r="AD24" s="17">
        <f>IF($B24="","",IFERROR(sysGrades!$U24,""))</f>
        <v/>
      </c>
    </row>
    <row r="25">
      <c r="B25" s="17">
        <f>IF(Cadets!$B25="","",Cadets!$B25)</f>
        <v/>
      </c>
      <c r="C25" s="17">
        <f>IF($B25="","",Cadets!$F25)</f>
        <v/>
      </c>
      <c r="D25" s="17">
        <f>IF(OR($B25="",D$5=""),"",IFERROR(SUMIFS(nrES_Rec,nrES_PID,$B25,nrES_Code,D$5,nrES_Final,"Yes"),""))</f>
        <v/>
      </c>
      <c r="E25" s="17">
        <f>IF(OR($B25="",E$5=""),"",IFERROR(SUMIFS(nrES_Rec,nrES_PID,$B25,nrES_Code,E$5,nrES_Final,"Yes"),""))</f>
        <v/>
      </c>
      <c r="F25" s="17">
        <f>IF(OR($B25="",F$5=""),"",IFERROR(SUMIFS(nrES_Rec,nrES_PID,$B25,nrES_Code,F$5,nrES_Final,"Yes"),""))</f>
        <v/>
      </c>
      <c r="G25" s="17">
        <f>IF(OR($B25="",G$5=""),"",IFERROR(SUMIFS(nrES_Rec,nrES_PID,$B25,nrES_Code,G$5,nrES_Final,"Yes"),""))</f>
        <v/>
      </c>
      <c r="H25" s="17">
        <f>IF(OR($B25="",H$5=""),"",IFERROR(SUMIFS(nrES_Rec,nrES_PID,$B25,nrES_Code,H$5,nrES_Final,"Yes"),""))</f>
        <v/>
      </c>
      <c r="I25" s="17">
        <f>IF(OR($B25="",I$5=""),"",IFERROR(SUMIFS(nrES_Rec,nrES_PID,$B25,nrES_Code,I$5,nrES_Final,"Yes"),""))</f>
        <v/>
      </c>
      <c r="J25" s="17">
        <f>IF(OR($B25="",J$5=""),"",IFERROR(SUMIFS(nrES_Rec,nrES_PID,$B25,nrES_Code,J$5,nrES_Final,"Yes"),""))</f>
        <v/>
      </c>
      <c r="K25" s="17">
        <f>IF(OR($B25="",K$5=""),"",IFERROR(SUMIFS(nrES_Rec,nrES_PID,$B25,nrES_Code,K$5,nrES_Final,"Yes"),""))</f>
        <v/>
      </c>
      <c r="L25" s="17">
        <f>IF(OR($B25="",L$5=""),"",IFERROR(SUMIFS(nrES_Rec,nrES_PID,$B25,nrES_Code,L$5,nrES_Final,"Yes"),""))</f>
        <v/>
      </c>
      <c r="M25" s="17">
        <f>IF(OR($B25="",M$5=""),"",IFERROR(SUMIFS(nrES_Rec,nrES_PID,$B25,nrES_Code,M$5,nrES_Final,"Yes"),""))</f>
        <v/>
      </c>
      <c r="N25" s="17">
        <f>IF(OR($B25="",N$5=""),"",IFERROR(SUMIFS(nrES_Rec,nrES_PID,$B25,nrES_Code,N$5,nrES_Final,"Yes"),""))</f>
        <v/>
      </c>
      <c r="O25" s="17">
        <f>IF(OR($B25="",O$5=""),"",IFERROR(SUMIFS(nrES_Rec,nrES_PID,$B25,nrES_Code,O$5,nrES_Final,"Yes"),""))</f>
        <v/>
      </c>
      <c r="P25" s="17">
        <f>IF(OR($B25="",P$5=""),"",IFERROR(SUMIFS(nrES_Rec,nrES_PID,$B25,nrES_Code,P$5,nrES_Final,"Yes"),""))</f>
        <v/>
      </c>
      <c r="Q25" s="17">
        <f>IF(OR($B25="",Q$5=""),"",IFERROR(SUMIFS(nrES_Rec,nrES_PID,$B25,nrES_Code,Q$5,nrES_Final,"Yes"),""))</f>
        <v/>
      </c>
      <c r="R25" s="17">
        <f>IF(OR($B25="",R$5=""),"",IFERROR(SUMIFS(nrES_Rec,nrES_PID,$B25,nrES_Code,R$5,nrES_Final,"Yes"),""))</f>
        <v/>
      </c>
      <c r="S25" s="17">
        <f>IF(OR($B25="",S$5=""),"",IFERROR(SUMIFS(nrES_Rec,nrES_PID,$B25,nrES_Code,S$5,nrES_Final,"Yes"),""))</f>
        <v/>
      </c>
      <c r="T25" s="17">
        <f>IF(OR($B25="",T$5=""),"",IFERROR(SUMIFS(nrES_Rec,nrES_PID,$B25,nrES_Code,T$5,nrES_Final,"Yes"),""))</f>
        <v/>
      </c>
      <c r="U25" s="17">
        <f>IF(OR($B25="",U$5=""),"",IFERROR(SUMIFS(nrES_Rec,nrES_PID,$B25,nrES_Code,U$5,nrES_Final,"Yes"),""))</f>
        <v/>
      </c>
      <c r="V25" s="17">
        <f>IF(OR($B25="",V$5=""),"",IFERROR(SUMIFS(nrES_Rec,nrES_PID,$B25,nrES_Code,V$5,nrES_Final,"Yes"),""))</f>
        <v/>
      </c>
      <c r="W25" s="17">
        <f>IF(OR($B25="",W$5=""),"",IFERROR(SUMIFS(nrES_Rec,nrES_PID,$B25,nrES_Code,W$5,nrES_Final,"Yes"),""))</f>
        <v/>
      </c>
      <c r="X25" s="17">
        <f>IF(OR($B25="",X$5=""),"",IFERROR(SUMIFS(nrES_Rec,nrES_PID,$B25,nrES_Code,X$5,nrES_Final,"Yes"),""))</f>
        <v/>
      </c>
      <c r="Y25" s="17">
        <f>IF(OR($B25="",Y$5=""),"",IFERROR(SUMIFS(nrES_Rec,nrES_PID,$B25,nrES_Code,Y$5,nrES_Final,"Yes"),""))</f>
        <v/>
      </c>
      <c r="Z25" s="17">
        <f>IF(OR($B25="",Z$5=""),"",IFERROR(SUMIFS(nrES_Rec,nrES_PID,$B25,nrES_Code,Z$5,nrES_Final,"Yes"),""))</f>
        <v/>
      </c>
      <c r="AA25" s="17">
        <f>IF(OR($B25="",AA$5=""),"",IFERROR(SUMIFS(nrES_Rec,nrES_PID,$B25,nrES_Code,AA$5,nrES_Final,"Yes"),""))</f>
        <v/>
      </c>
      <c r="AB25" s="17">
        <f>IF(OR($B25="",AB$5=""),"",IFERROR(SUMIFS(nrES_Rec,nrES_PID,$B25,nrES_Code,AB$5,nrES_Final,"Yes"),""))</f>
        <v/>
      </c>
      <c r="AC25" s="17">
        <f>IF($B25="","",sysGrades!$M25)</f>
        <v/>
      </c>
      <c r="AD25" s="17">
        <f>IF($B25="","",IFERROR(sysGrades!$U25,""))</f>
        <v/>
      </c>
    </row>
    <row r="26">
      <c r="B26" s="17">
        <f>IF(Cadets!$B26="","",Cadets!$B26)</f>
        <v/>
      </c>
      <c r="C26" s="17">
        <f>IF($B26="","",Cadets!$F26)</f>
        <v/>
      </c>
      <c r="D26" s="17">
        <f>IF(OR($B26="",D$5=""),"",IFERROR(SUMIFS(nrES_Rec,nrES_PID,$B26,nrES_Code,D$5,nrES_Final,"Yes"),""))</f>
        <v/>
      </c>
      <c r="E26" s="17">
        <f>IF(OR($B26="",E$5=""),"",IFERROR(SUMIFS(nrES_Rec,nrES_PID,$B26,nrES_Code,E$5,nrES_Final,"Yes"),""))</f>
        <v/>
      </c>
      <c r="F26" s="17">
        <f>IF(OR($B26="",F$5=""),"",IFERROR(SUMIFS(nrES_Rec,nrES_PID,$B26,nrES_Code,F$5,nrES_Final,"Yes"),""))</f>
        <v/>
      </c>
      <c r="G26" s="17">
        <f>IF(OR($B26="",G$5=""),"",IFERROR(SUMIFS(nrES_Rec,nrES_PID,$B26,nrES_Code,G$5,nrES_Final,"Yes"),""))</f>
        <v/>
      </c>
      <c r="H26" s="17">
        <f>IF(OR($B26="",H$5=""),"",IFERROR(SUMIFS(nrES_Rec,nrES_PID,$B26,nrES_Code,H$5,nrES_Final,"Yes"),""))</f>
        <v/>
      </c>
      <c r="I26" s="17">
        <f>IF(OR($B26="",I$5=""),"",IFERROR(SUMIFS(nrES_Rec,nrES_PID,$B26,nrES_Code,I$5,nrES_Final,"Yes"),""))</f>
        <v/>
      </c>
      <c r="J26" s="17">
        <f>IF(OR($B26="",J$5=""),"",IFERROR(SUMIFS(nrES_Rec,nrES_PID,$B26,nrES_Code,J$5,nrES_Final,"Yes"),""))</f>
        <v/>
      </c>
      <c r="K26" s="17">
        <f>IF(OR($B26="",K$5=""),"",IFERROR(SUMIFS(nrES_Rec,nrES_PID,$B26,nrES_Code,K$5,nrES_Final,"Yes"),""))</f>
        <v/>
      </c>
      <c r="L26" s="17">
        <f>IF(OR($B26="",L$5=""),"",IFERROR(SUMIFS(nrES_Rec,nrES_PID,$B26,nrES_Code,L$5,nrES_Final,"Yes"),""))</f>
        <v/>
      </c>
      <c r="M26" s="17">
        <f>IF(OR($B26="",M$5=""),"",IFERROR(SUMIFS(nrES_Rec,nrES_PID,$B26,nrES_Code,M$5,nrES_Final,"Yes"),""))</f>
        <v/>
      </c>
      <c r="N26" s="17">
        <f>IF(OR($B26="",N$5=""),"",IFERROR(SUMIFS(nrES_Rec,nrES_PID,$B26,nrES_Code,N$5,nrES_Final,"Yes"),""))</f>
        <v/>
      </c>
      <c r="O26" s="17">
        <f>IF(OR($B26="",O$5=""),"",IFERROR(SUMIFS(nrES_Rec,nrES_PID,$B26,nrES_Code,O$5,nrES_Final,"Yes"),""))</f>
        <v/>
      </c>
      <c r="P26" s="17">
        <f>IF(OR($B26="",P$5=""),"",IFERROR(SUMIFS(nrES_Rec,nrES_PID,$B26,nrES_Code,P$5,nrES_Final,"Yes"),""))</f>
        <v/>
      </c>
      <c r="Q26" s="17">
        <f>IF(OR($B26="",Q$5=""),"",IFERROR(SUMIFS(nrES_Rec,nrES_PID,$B26,nrES_Code,Q$5,nrES_Final,"Yes"),""))</f>
        <v/>
      </c>
      <c r="R26" s="17">
        <f>IF(OR($B26="",R$5=""),"",IFERROR(SUMIFS(nrES_Rec,nrES_PID,$B26,nrES_Code,R$5,nrES_Final,"Yes"),""))</f>
        <v/>
      </c>
      <c r="S26" s="17">
        <f>IF(OR($B26="",S$5=""),"",IFERROR(SUMIFS(nrES_Rec,nrES_PID,$B26,nrES_Code,S$5,nrES_Final,"Yes"),""))</f>
        <v/>
      </c>
      <c r="T26" s="17">
        <f>IF(OR($B26="",T$5=""),"",IFERROR(SUMIFS(nrES_Rec,nrES_PID,$B26,nrES_Code,T$5,nrES_Final,"Yes"),""))</f>
        <v/>
      </c>
      <c r="U26" s="17">
        <f>IF(OR($B26="",U$5=""),"",IFERROR(SUMIFS(nrES_Rec,nrES_PID,$B26,nrES_Code,U$5,nrES_Final,"Yes"),""))</f>
        <v/>
      </c>
      <c r="V26" s="17">
        <f>IF(OR($B26="",V$5=""),"",IFERROR(SUMIFS(nrES_Rec,nrES_PID,$B26,nrES_Code,V$5,nrES_Final,"Yes"),""))</f>
        <v/>
      </c>
      <c r="W26" s="17">
        <f>IF(OR($B26="",W$5=""),"",IFERROR(SUMIFS(nrES_Rec,nrES_PID,$B26,nrES_Code,W$5,nrES_Final,"Yes"),""))</f>
        <v/>
      </c>
      <c r="X26" s="17">
        <f>IF(OR($B26="",X$5=""),"",IFERROR(SUMIFS(nrES_Rec,nrES_PID,$B26,nrES_Code,X$5,nrES_Final,"Yes"),""))</f>
        <v/>
      </c>
      <c r="Y26" s="17">
        <f>IF(OR($B26="",Y$5=""),"",IFERROR(SUMIFS(nrES_Rec,nrES_PID,$B26,nrES_Code,Y$5,nrES_Final,"Yes"),""))</f>
        <v/>
      </c>
      <c r="Z26" s="17">
        <f>IF(OR($B26="",Z$5=""),"",IFERROR(SUMIFS(nrES_Rec,nrES_PID,$B26,nrES_Code,Z$5,nrES_Final,"Yes"),""))</f>
        <v/>
      </c>
      <c r="AA26" s="17">
        <f>IF(OR($B26="",AA$5=""),"",IFERROR(SUMIFS(nrES_Rec,nrES_PID,$B26,nrES_Code,AA$5,nrES_Final,"Yes"),""))</f>
        <v/>
      </c>
      <c r="AB26" s="17">
        <f>IF(OR($B26="",AB$5=""),"",IFERROR(SUMIFS(nrES_Rec,nrES_PID,$B26,nrES_Code,AB$5,nrES_Final,"Yes"),""))</f>
        <v/>
      </c>
      <c r="AC26" s="17">
        <f>IF($B26="","",sysGrades!$M26)</f>
        <v/>
      </c>
      <c r="AD26" s="17">
        <f>IF($B26="","",IFERROR(sysGrades!$U26,""))</f>
        <v/>
      </c>
    </row>
    <row r="27">
      <c r="B27" s="17">
        <f>IF(Cadets!$B27="","",Cadets!$B27)</f>
        <v/>
      </c>
      <c r="C27" s="17">
        <f>IF($B27="","",Cadets!$F27)</f>
        <v/>
      </c>
      <c r="D27" s="17">
        <f>IF(OR($B27="",D$5=""),"",IFERROR(SUMIFS(nrES_Rec,nrES_PID,$B27,nrES_Code,D$5,nrES_Final,"Yes"),""))</f>
        <v/>
      </c>
      <c r="E27" s="17">
        <f>IF(OR($B27="",E$5=""),"",IFERROR(SUMIFS(nrES_Rec,nrES_PID,$B27,nrES_Code,E$5,nrES_Final,"Yes"),""))</f>
        <v/>
      </c>
      <c r="F27" s="17">
        <f>IF(OR($B27="",F$5=""),"",IFERROR(SUMIFS(nrES_Rec,nrES_PID,$B27,nrES_Code,F$5,nrES_Final,"Yes"),""))</f>
        <v/>
      </c>
      <c r="G27" s="17">
        <f>IF(OR($B27="",G$5=""),"",IFERROR(SUMIFS(nrES_Rec,nrES_PID,$B27,nrES_Code,G$5,nrES_Final,"Yes"),""))</f>
        <v/>
      </c>
      <c r="H27" s="17">
        <f>IF(OR($B27="",H$5=""),"",IFERROR(SUMIFS(nrES_Rec,nrES_PID,$B27,nrES_Code,H$5,nrES_Final,"Yes"),""))</f>
        <v/>
      </c>
      <c r="I27" s="17">
        <f>IF(OR($B27="",I$5=""),"",IFERROR(SUMIFS(nrES_Rec,nrES_PID,$B27,nrES_Code,I$5,nrES_Final,"Yes"),""))</f>
        <v/>
      </c>
      <c r="J27" s="17">
        <f>IF(OR($B27="",J$5=""),"",IFERROR(SUMIFS(nrES_Rec,nrES_PID,$B27,nrES_Code,J$5,nrES_Final,"Yes"),""))</f>
        <v/>
      </c>
      <c r="K27" s="17">
        <f>IF(OR($B27="",K$5=""),"",IFERROR(SUMIFS(nrES_Rec,nrES_PID,$B27,nrES_Code,K$5,nrES_Final,"Yes"),""))</f>
        <v/>
      </c>
      <c r="L27" s="17">
        <f>IF(OR($B27="",L$5=""),"",IFERROR(SUMIFS(nrES_Rec,nrES_PID,$B27,nrES_Code,L$5,nrES_Final,"Yes"),""))</f>
        <v/>
      </c>
      <c r="M27" s="17">
        <f>IF(OR($B27="",M$5=""),"",IFERROR(SUMIFS(nrES_Rec,nrES_PID,$B27,nrES_Code,M$5,nrES_Final,"Yes"),""))</f>
        <v/>
      </c>
      <c r="N27" s="17">
        <f>IF(OR($B27="",N$5=""),"",IFERROR(SUMIFS(nrES_Rec,nrES_PID,$B27,nrES_Code,N$5,nrES_Final,"Yes"),""))</f>
        <v/>
      </c>
      <c r="O27" s="17">
        <f>IF(OR($B27="",O$5=""),"",IFERROR(SUMIFS(nrES_Rec,nrES_PID,$B27,nrES_Code,O$5,nrES_Final,"Yes"),""))</f>
        <v/>
      </c>
      <c r="P27" s="17">
        <f>IF(OR($B27="",P$5=""),"",IFERROR(SUMIFS(nrES_Rec,nrES_PID,$B27,nrES_Code,P$5,nrES_Final,"Yes"),""))</f>
        <v/>
      </c>
      <c r="Q27" s="17">
        <f>IF(OR($B27="",Q$5=""),"",IFERROR(SUMIFS(nrES_Rec,nrES_PID,$B27,nrES_Code,Q$5,nrES_Final,"Yes"),""))</f>
        <v/>
      </c>
      <c r="R27" s="17">
        <f>IF(OR($B27="",R$5=""),"",IFERROR(SUMIFS(nrES_Rec,nrES_PID,$B27,nrES_Code,R$5,nrES_Final,"Yes"),""))</f>
        <v/>
      </c>
      <c r="S27" s="17">
        <f>IF(OR($B27="",S$5=""),"",IFERROR(SUMIFS(nrES_Rec,nrES_PID,$B27,nrES_Code,S$5,nrES_Final,"Yes"),""))</f>
        <v/>
      </c>
      <c r="T27" s="17">
        <f>IF(OR($B27="",T$5=""),"",IFERROR(SUMIFS(nrES_Rec,nrES_PID,$B27,nrES_Code,T$5,nrES_Final,"Yes"),""))</f>
        <v/>
      </c>
      <c r="U27" s="17">
        <f>IF(OR($B27="",U$5=""),"",IFERROR(SUMIFS(nrES_Rec,nrES_PID,$B27,nrES_Code,U$5,nrES_Final,"Yes"),""))</f>
        <v/>
      </c>
      <c r="V27" s="17">
        <f>IF(OR($B27="",V$5=""),"",IFERROR(SUMIFS(nrES_Rec,nrES_PID,$B27,nrES_Code,V$5,nrES_Final,"Yes"),""))</f>
        <v/>
      </c>
      <c r="W27" s="17">
        <f>IF(OR($B27="",W$5=""),"",IFERROR(SUMIFS(nrES_Rec,nrES_PID,$B27,nrES_Code,W$5,nrES_Final,"Yes"),""))</f>
        <v/>
      </c>
      <c r="X27" s="17">
        <f>IF(OR($B27="",X$5=""),"",IFERROR(SUMIFS(nrES_Rec,nrES_PID,$B27,nrES_Code,X$5,nrES_Final,"Yes"),""))</f>
        <v/>
      </c>
      <c r="Y27" s="17">
        <f>IF(OR($B27="",Y$5=""),"",IFERROR(SUMIFS(nrES_Rec,nrES_PID,$B27,nrES_Code,Y$5,nrES_Final,"Yes"),""))</f>
        <v/>
      </c>
      <c r="Z27" s="17">
        <f>IF(OR($B27="",Z$5=""),"",IFERROR(SUMIFS(nrES_Rec,nrES_PID,$B27,nrES_Code,Z$5,nrES_Final,"Yes"),""))</f>
        <v/>
      </c>
      <c r="AA27" s="17">
        <f>IF(OR($B27="",AA$5=""),"",IFERROR(SUMIFS(nrES_Rec,nrES_PID,$B27,nrES_Code,AA$5,nrES_Final,"Yes"),""))</f>
        <v/>
      </c>
      <c r="AB27" s="17">
        <f>IF(OR($B27="",AB$5=""),"",IFERROR(SUMIFS(nrES_Rec,nrES_PID,$B27,nrES_Code,AB$5,nrES_Final,"Yes"),""))</f>
        <v/>
      </c>
      <c r="AC27" s="17">
        <f>IF($B27="","",sysGrades!$M27)</f>
        <v/>
      </c>
      <c r="AD27" s="17">
        <f>IF($B27="","",IFERROR(sysGrades!$U27,""))</f>
        <v/>
      </c>
    </row>
    <row r="28">
      <c r="B28" s="17">
        <f>IF(Cadets!$B28="","",Cadets!$B28)</f>
        <v/>
      </c>
      <c r="C28" s="17">
        <f>IF($B28="","",Cadets!$F28)</f>
        <v/>
      </c>
      <c r="D28" s="17">
        <f>IF(OR($B28="",D$5=""),"",IFERROR(SUMIFS(nrES_Rec,nrES_PID,$B28,nrES_Code,D$5,nrES_Final,"Yes"),""))</f>
        <v/>
      </c>
      <c r="E28" s="17">
        <f>IF(OR($B28="",E$5=""),"",IFERROR(SUMIFS(nrES_Rec,nrES_PID,$B28,nrES_Code,E$5,nrES_Final,"Yes"),""))</f>
        <v/>
      </c>
      <c r="F28" s="17">
        <f>IF(OR($B28="",F$5=""),"",IFERROR(SUMIFS(nrES_Rec,nrES_PID,$B28,nrES_Code,F$5,nrES_Final,"Yes"),""))</f>
        <v/>
      </c>
      <c r="G28" s="17">
        <f>IF(OR($B28="",G$5=""),"",IFERROR(SUMIFS(nrES_Rec,nrES_PID,$B28,nrES_Code,G$5,nrES_Final,"Yes"),""))</f>
        <v/>
      </c>
      <c r="H28" s="17">
        <f>IF(OR($B28="",H$5=""),"",IFERROR(SUMIFS(nrES_Rec,nrES_PID,$B28,nrES_Code,H$5,nrES_Final,"Yes"),""))</f>
        <v/>
      </c>
      <c r="I28" s="17">
        <f>IF(OR($B28="",I$5=""),"",IFERROR(SUMIFS(nrES_Rec,nrES_PID,$B28,nrES_Code,I$5,nrES_Final,"Yes"),""))</f>
        <v/>
      </c>
      <c r="J28" s="17">
        <f>IF(OR($B28="",J$5=""),"",IFERROR(SUMIFS(nrES_Rec,nrES_PID,$B28,nrES_Code,J$5,nrES_Final,"Yes"),""))</f>
        <v/>
      </c>
      <c r="K28" s="17">
        <f>IF(OR($B28="",K$5=""),"",IFERROR(SUMIFS(nrES_Rec,nrES_PID,$B28,nrES_Code,K$5,nrES_Final,"Yes"),""))</f>
        <v/>
      </c>
      <c r="L28" s="17">
        <f>IF(OR($B28="",L$5=""),"",IFERROR(SUMIFS(nrES_Rec,nrES_PID,$B28,nrES_Code,L$5,nrES_Final,"Yes"),""))</f>
        <v/>
      </c>
      <c r="M28" s="17">
        <f>IF(OR($B28="",M$5=""),"",IFERROR(SUMIFS(nrES_Rec,nrES_PID,$B28,nrES_Code,M$5,nrES_Final,"Yes"),""))</f>
        <v/>
      </c>
      <c r="N28" s="17">
        <f>IF(OR($B28="",N$5=""),"",IFERROR(SUMIFS(nrES_Rec,nrES_PID,$B28,nrES_Code,N$5,nrES_Final,"Yes"),""))</f>
        <v/>
      </c>
      <c r="O28" s="17">
        <f>IF(OR($B28="",O$5=""),"",IFERROR(SUMIFS(nrES_Rec,nrES_PID,$B28,nrES_Code,O$5,nrES_Final,"Yes"),""))</f>
        <v/>
      </c>
      <c r="P28" s="17">
        <f>IF(OR($B28="",P$5=""),"",IFERROR(SUMIFS(nrES_Rec,nrES_PID,$B28,nrES_Code,P$5,nrES_Final,"Yes"),""))</f>
        <v/>
      </c>
      <c r="Q28" s="17">
        <f>IF(OR($B28="",Q$5=""),"",IFERROR(SUMIFS(nrES_Rec,nrES_PID,$B28,nrES_Code,Q$5,nrES_Final,"Yes"),""))</f>
        <v/>
      </c>
      <c r="R28" s="17">
        <f>IF(OR($B28="",R$5=""),"",IFERROR(SUMIFS(nrES_Rec,nrES_PID,$B28,nrES_Code,R$5,nrES_Final,"Yes"),""))</f>
        <v/>
      </c>
      <c r="S28" s="17">
        <f>IF(OR($B28="",S$5=""),"",IFERROR(SUMIFS(nrES_Rec,nrES_PID,$B28,nrES_Code,S$5,nrES_Final,"Yes"),""))</f>
        <v/>
      </c>
      <c r="T28" s="17">
        <f>IF(OR($B28="",T$5=""),"",IFERROR(SUMIFS(nrES_Rec,nrES_PID,$B28,nrES_Code,T$5,nrES_Final,"Yes"),""))</f>
        <v/>
      </c>
      <c r="U28" s="17">
        <f>IF(OR($B28="",U$5=""),"",IFERROR(SUMIFS(nrES_Rec,nrES_PID,$B28,nrES_Code,U$5,nrES_Final,"Yes"),""))</f>
        <v/>
      </c>
      <c r="V28" s="17">
        <f>IF(OR($B28="",V$5=""),"",IFERROR(SUMIFS(nrES_Rec,nrES_PID,$B28,nrES_Code,V$5,nrES_Final,"Yes"),""))</f>
        <v/>
      </c>
      <c r="W28" s="17">
        <f>IF(OR($B28="",W$5=""),"",IFERROR(SUMIFS(nrES_Rec,nrES_PID,$B28,nrES_Code,W$5,nrES_Final,"Yes"),""))</f>
        <v/>
      </c>
      <c r="X28" s="17">
        <f>IF(OR($B28="",X$5=""),"",IFERROR(SUMIFS(nrES_Rec,nrES_PID,$B28,nrES_Code,X$5,nrES_Final,"Yes"),""))</f>
        <v/>
      </c>
      <c r="Y28" s="17">
        <f>IF(OR($B28="",Y$5=""),"",IFERROR(SUMIFS(nrES_Rec,nrES_PID,$B28,nrES_Code,Y$5,nrES_Final,"Yes"),""))</f>
        <v/>
      </c>
      <c r="Z28" s="17">
        <f>IF(OR($B28="",Z$5=""),"",IFERROR(SUMIFS(nrES_Rec,nrES_PID,$B28,nrES_Code,Z$5,nrES_Final,"Yes"),""))</f>
        <v/>
      </c>
      <c r="AA28" s="17">
        <f>IF(OR($B28="",AA$5=""),"",IFERROR(SUMIFS(nrES_Rec,nrES_PID,$B28,nrES_Code,AA$5,nrES_Final,"Yes"),""))</f>
        <v/>
      </c>
      <c r="AB28" s="17">
        <f>IF(OR($B28="",AB$5=""),"",IFERROR(SUMIFS(nrES_Rec,nrES_PID,$B28,nrES_Code,AB$5,nrES_Final,"Yes"),""))</f>
        <v/>
      </c>
      <c r="AC28" s="17">
        <f>IF($B28="","",sysGrades!$M28)</f>
        <v/>
      </c>
      <c r="AD28" s="17">
        <f>IF($B28="","",IFERROR(sysGrades!$U28,""))</f>
        <v/>
      </c>
    </row>
    <row r="29">
      <c r="B29" s="17">
        <f>IF(Cadets!$B29="","",Cadets!$B29)</f>
        <v/>
      </c>
      <c r="C29" s="17">
        <f>IF($B29="","",Cadets!$F29)</f>
        <v/>
      </c>
      <c r="D29" s="17">
        <f>IF(OR($B29="",D$5=""),"",IFERROR(SUMIFS(nrES_Rec,nrES_PID,$B29,nrES_Code,D$5,nrES_Final,"Yes"),""))</f>
        <v/>
      </c>
      <c r="E29" s="17">
        <f>IF(OR($B29="",E$5=""),"",IFERROR(SUMIFS(nrES_Rec,nrES_PID,$B29,nrES_Code,E$5,nrES_Final,"Yes"),""))</f>
        <v/>
      </c>
      <c r="F29" s="17">
        <f>IF(OR($B29="",F$5=""),"",IFERROR(SUMIFS(nrES_Rec,nrES_PID,$B29,nrES_Code,F$5,nrES_Final,"Yes"),""))</f>
        <v/>
      </c>
      <c r="G29" s="17">
        <f>IF(OR($B29="",G$5=""),"",IFERROR(SUMIFS(nrES_Rec,nrES_PID,$B29,nrES_Code,G$5,nrES_Final,"Yes"),""))</f>
        <v/>
      </c>
      <c r="H29" s="17">
        <f>IF(OR($B29="",H$5=""),"",IFERROR(SUMIFS(nrES_Rec,nrES_PID,$B29,nrES_Code,H$5,nrES_Final,"Yes"),""))</f>
        <v/>
      </c>
      <c r="I29" s="17">
        <f>IF(OR($B29="",I$5=""),"",IFERROR(SUMIFS(nrES_Rec,nrES_PID,$B29,nrES_Code,I$5,nrES_Final,"Yes"),""))</f>
        <v/>
      </c>
      <c r="J29" s="17">
        <f>IF(OR($B29="",J$5=""),"",IFERROR(SUMIFS(nrES_Rec,nrES_PID,$B29,nrES_Code,J$5,nrES_Final,"Yes"),""))</f>
        <v/>
      </c>
      <c r="K29" s="17">
        <f>IF(OR($B29="",K$5=""),"",IFERROR(SUMIFS(nrES_Rec,nrES_PID,$B29,nrES_Code,K$5,nrES_Final,"Yes"),""))</f>
        <v/>
      </c>
      <c r="L29" s="17">
        <f>IF(OR($B29="",L$5=""),"",IFERROR(SUMIFS(nrES_Rec,nrES_PID,$B29,nrES_Code,L$5,nrES_Final,"Yes"),""))</f>
        <v/>
      </c>
      <c r="M29" s="17">
        <f>IF(OR($B29="",M$5=""),"",IFERROR(SUMIFS(nrES_Rec,nrES_PID,$B29,nrES_Code,M$5,nrES_Final,"Yes"),""))</f>
        <v/>
      </c>
      <c r="N29" s="17">
        <f>IF(OR($B29="",N$5=""),"",IFERROR(SUMIFS(nrES_Rec,nrES_PID,$B29,nrES_Code,N$5,nrES_Final,"Yes"),""))</f>
        <v/>
      </c>
      <c r="O29" s="17">
        <f>IF(OR($B29="",O$5=""),"",IFERROR(SUMIFS(nrES_Rec,nrES_PID,$B29,nrES_Code,O$5,nrES_Final,"Yes"),""))</f>
        <v/>
      </c>
      <c r="P29" s="17">
        <f>IF(OR($B29="",P$5=""),"",IFERROR(SUMIFS(nrES_Rec,nrES_PID,$B29,nrES_Code,P$5,nrES_Final,"Yes"),""))</f>
        <v/>
      </c>
      <c r="Q29" s="17">
        <f>IF(OR($B29="",Q$5=""),"",IFERROR(SUMIFS(nrES_Rec,nrES_PID,$B29,nrES_Code,Q$5,nrES_Final,"Yes"),""))</f>
        <v/>
      </c>
      <c r="R29" s="17">
        <f>IF(OR($B29="",R$5=""),"",IFERROR(SUMIFS(nrES_Rec,nrES_PID,$B29,nrES_Code,R$5,nrES_Final,"Yes"),""))</f>
        <v/>
      </c>
      <c r="S29" s="17">
        <f>IF(OR($B29="",S$5=""),"",IFERROR(SUMIFS(nrES_Rec,nrES_PID,$B29,nrES_Code,S$5,nrES_Final,"Yes"),""))</f>
        <v/>
      </c>
      <c r="T29" s="17">
        <f>IF(OR($B29="",T$5=""),"",IFERROR(SUMIFS(nrES_Rec,nrES_PID,$B29,nrES_Code,T$5,nrES_Final,"Yes"),""))</f>
        <v/>
      </c>
      <c r="U29" s="17">
        <f>IF(OR($B29="",U$5=""),"",IFERROR(SUMIFS(nrES_Rec,nrES_PID,$B29,nrES_Code,U$5,nrES_Final,"Yes"),""))</f>
        <v/>
      </c>
      <c r="V29" s="17">
        <f>IF(OR($B29="",V$5=""),"",IFERROR(SUMIFS(nrES_Rec,nrES_PID,$B29,nrES_Code,V$5,nrES_Final,"Yes"),""))</f>
        <v/>
      </c>
      <c r="W29" s="17">
        <f>IF(OR($B29="",W$5=""),"",IFERROR(SUMIFS(nrES_Rec,nrES_PID,$B29,nrES_Code,W$5,nrES_Final,"Yes"),""))</f>
        <v/>
      </c>
      <c r="X29" s="17">
        <f>IF(OR($B29="",X$5=""),"",IFERROR(SUMIFS(nrES_Rec,nrES_PID,$B29,nrES_Code,X$5,nrES_Final,"Yes"),""))</f>
        <v/>
      </c>
      <c r="Y29" s="17">
        <f>IF(OR($B29="",Y$5=""),"",IFERROR(SUMIFS(nrES_Rec,nrES_PID,$B29,nrES_Code,Y$5,nrES_Final,"Yes"),""))</f>
        <v/>
      </c>
      <c r="Z29" s="17">
        <f>IF(OR($B29="",Z$5=""),"",IFERROR(SUMIFS(nrES_Rec,nrES_PID,$B29,nrES_Code,Z$5,nrES_Final,"Yes"),""))</f>
        <v/>
      </c>
      <c r="AA29" s="17">
        <f>IF(OR($B29="",AA$5=""),"",IFERROR(SUMIFS(nrES_Rec,nrES_PID,$B29,nrES_Code,AA$5,nrES_Final,"Yes"),""))</f>
        <v/>
      </c>
      <c r="AB29" s="17">
        <f>IF(OR($B29="",AB$5=""),"",IFERROR(SUMIFS(nrES_Rec,nrES_PID,$B29,nrES_Code,AB$5,nrES_Final,"Yes"),""))</f>
        <v/>
      </c>
      <c r="AC29" s="17">
        <f>IF($B29="","",sysGrades!$M29)</f>
        <v/>
      </c>
      <c r="AD29" s="17">
        <f>IF($B29="","",IFERROR(sysGrades!$U29,""))</f>
        <v/>
      </c>
    </row>
    <row r="30">
      <c r="B30" s="17">
        <f>IF(Cadets!$B30="","",Cadets!$B30)</f>
        <v/>
      </c>
      <c r="C30" s="17">
        <f>IF($B30="","",Cadets!$F30)</f>
        <v/>
      </c>
      <c r="D30" s="17">
        <f>IF(OR($B30="",D$5=""),"",IFERROR(SUMIFS(nrES_Rec,nrES_PID,$B30,nrES_Code,D$5,nrES_Final,"Yes"),""))</f>
        <v/>
      </c>
      <c r="E30" s="17">
        <f>IF(OR($B30="",E$5=""),"",IFERROR(SUMIFS(nrES_Rec,nrES_PID,$B30,nrES_Code,E$5,nrES_Final,"Yes"),""))</f>
        <v/>
      </c>
      <c r="F30" s="17">
        <f>IF(OR($B30="",F$5=""),"",IFERROR(SUMIFS(nrES_Rec,nrES_PID,$B30,nrES_Code,F$5,nrES_Final,"Yes"),""))</f>
        <v/>
      </c>
      <c r="G30" s="17">
        <f>IF(OR($B30="",G$5=""),"",IFERROR(SUMIFS(nrES_Rec,nrES_PID,$B30,nrES_Code,G$5,nrES_Final,"Yes"),""))</f>
        <v/>
      </c>
      <c r="H30" s="17">
        <f>IF(OR($B30="",H$5=""),"",IFERROR(SUMIFS(nrES_Rec,nrES_PID,$B30,nrES_Code,H$5,nrES_Final,"Yes"),""))</f>
        <v/>
      </c>
      <c r="I30" s="17">
        <f>IF(OR($B30="",I$5=""),"",IFERROR(SUMIFS(nrES_Rec,nrES_PID,$B30,nrES_Code,I$5,nrES_Final,"Yes"),""))</f>
        <v/>
      </c>
      <c r="J30" s="17">
        <f>IF(OR($B30="",J$5=""),"",IFERROR(SUMIFS(nrES_Rec,nrES_PID,$B30,nrES_Code,J$5,nrES_Final,"Yes"),""))</f>
        <v/>
      </c>
      <c r="K30" s="17">
        <f>IF(OR($B30="",K$5=""),"",IFERROR(SUMIFS(nrES_Rec,nrES_PID,$B30,nrES_Code,K$5,nrES_Final,"Yes"),""))</f>
        <v/>
      </c>
      <c r="L30" s="17">
        <f>IF(OR($B30="",L$5=""),"",IFERROR(SUMIFS(nrES_Rec,nrES_PID,$B30,nrES_Code,L$5,nrES_Final,"Yes"),""))</f>
        <v/>
      </c>
      <c r="M30" s="17">
        <f>IF(OR($B30="",M$5=""),"",IFERROR(SUMIFS(nrES_Rec,nrES_PID,$B30,nrES_Code,M$5,nrES_Final,"Yes"),""))</f>
        <v/>
      </c>
      <c r="N30" s="17">
        <f>IF(OR($B30="",N$5=""),"",IFERROR(SUMIFS(nrES_Rec,nrES_PID,$B30,nrES_Code,N$5,nrES_Final,"Yes"),""))</f>
        <v/>
      </c>
      <c r="O30" s="17">
        <f>IF(OR($B30="",O$5=""),"",IFERROR(SUMIFS(nrES_Rec,nrES_PID,$B30,nrES_Code,O$5,nrES_Final,"Yes"),""))</f>
        <v/>
      </c>
      <c r="P30" s="17">
        <f>IF(OR($B30="",P$5=""),"",IFERROR(SUMIFS(nrES_Rec,nrES_PID,$B30,nrES_Code,P$5,nrES_Final,"Yes"),""))</f>
        <v/>
      </c>
      <c r="Q30" s="17">
        <f>IF(OR($B30="",Q$5=""),"",IFERROR(SUMIFS(nrES_Rec,nrES_PID,$B30,nrES_Code,Q$5,nrES_Final,"Yes"),""))</f>
        <v/>
      </c>
      <c r="R30" s="17">
        <f>IF(OR($B30="",R$5=""),"",IFERROR(SUMIFS(nrES_Rec,nrES_PID,$B30,nrES_Code,R$5,nrES_Final,"Yes"),""))</f>
        <v/>
      </c>
      <c r="S30" s="17">
        <f>IF(OR($B30="",S$5=""),"",IFERROR(SUMIFS(nrES_Rec,nrES_PID,$B30,nrES_Code,S$5,nrES_Final,"Yes"),""))</f>
        <v/>
      </c>
      <c r="T30" s="17">
        <f>IF(OR($B30="",T$5=""),"",IFERROR(SUMIFS(nrES_Rec,nrES_PID,$B30,nrES_Code,T$5,nrES_Final,"Yes"),""))</f>
        <v/>
      </c>
      <c r="U30" s="17">
        <f>IF(OR($B30="",U$5=""),"",IFERROR(SUMIFS(nrES_Rec,nrES_PID,$B30,nrES_Code,U$5,nrES_Final,"Yes"),""))</f>
        <v/>
      </c>
      <c r="V30" s="17">
        <f>IF(OR($B30="",V$5=""),"",IFERROR(SUMIFS(nrES_Rec,nrES_PID,$B30,nrES_Code,V$5,nrES_Final,"Yes"),""))</f>
        <v/>
      </c>
      <c r="W30" s="17">
        <f>IF(OR($B30="",W$5=""),"",IFERROR(SUMIFS(nrES_Rec,nrES_PID,$B30,nrES_Code,W$5,nrES_Final,"Yes"),""))</f>
        <v/>
      </c>
      <c r="X30" s="17">
        <f>IF(OR($B30="",X$5=""),"",IFERROR(SUMIFS(nrES_Rec,nrES_PID,$B30,nrES_Code,X$5,nrES_Final,"Yes"),""))</f>
        <v/>
      </c>
      <c r="Y30" s="17">
        <f>IF(OR($B30="",Y$5=""),"",IFERROR(SUMIFS(nrES_Rec,nrES_PID,$B30,nrES_Code,Y$5,nrES_Final,"Yes"),""))</f>
        <v/>
      </c>
      <c r="Z30" s="17">
        <f>IF(OR($B30="",Z$5=""),"",IFERROR(SUMIFS(nrES_Rec,nrES_PID,$B30,nrES_Code,Z$5,nrES_Final,"Yes"),""))</f>
        <v/>
      </c>
      <c r="AA30" s="17">
        <f>IF(OR($B30="",AA$5=""),"",IFERROR(SUMIFS(nrES_Rec,nrES_PID,$B30,nrES_Code,AA$5,nrES_Final,"Yes"),""))</f>
        <v/>
      </c>
      <c r="AB30" s="17">
        <f>IF(OR($B30="",AB$5=""),"",IFERROR(SUMIFS(nrES_Rec,nrES_PID,$B30,nrES_Code,AB$5,nrES_Final,"Yes"),""))</f>
        <v/>
      </c>
      <c r="AC30" s="17">
        <f>IF($B30="","",sysGrades!$M30)</f>
        <v/>
      </c>
      <c r="AD30" s="17">
        <f>IF($B30="","",IFERROR(sysGrades!$U30,""))</f>
        <v/>
      </c>
    </row>
    <row r="31">
      <c r="B31" s="17">
        <f>IF(Cadets!$B31="","",Cadets!$B31)</f>
        <v/>
      </c>
      <c r="C31" s="17">
        <f>IF($B31="","",Cadets!$F31)</f>
        <v/>
      </c>
      <c r="D31" s="17">
        <f>IF(OR($B31="",D$5=""),"",IFERROR(SUMIFS(nrES_Rec,nrES_PID,$B31,nrES_Code,D$5,nrES_Final,"Yes"),""))</f>
        <v/>
      </c>
      <c r="E31" s="17">
        <f>IF(OR($B31="",E$5=""),"",IFERROR(SUMIFS(nrES_Rec,nrES_PID,$B31,nrES_Code,E$5,nrES_Final,"Yes"),""))</f>
        <v/>
      </c>
      <c r="F31" s="17">
        <f>IF(OR($B31="",F$5=""),"",IFERROR(SUMIFS(nrES_Rec,nrES_PID,$B31,nrES_Code,F$5,nrES_Final,"Yes"),""))</f>
        <v/>
      </c>
      <c r="G31" s="17">
        <f>IF(OR($B31="",G$5=""),"",IFERROR(SUMIFS(nrES_Rec,nrES_PID,$B31,nrES_Code,G$5,nrES_Final,"Yes"),""))</f>
        <v/>
      </c>
      <c r="H31" s="17">
        <f>IF(OR($B31="",H$5=""),"",IFERROR(SUMIFS(nrES_Rec,nrES_PID,$B31,nrES_Code,H$5,nrES_Final,"Yes"),""))</f>
        <v/>
      </c>
      <c r="I31" s="17">
        <f>IF(OR($B31="",I$5=""),"",IFERROR(SUMIFS(nrES_Rec,nrES_PID,$B31,nrES_Code,I$5,nrES_Final,"Yes"),""))</f>
        <v/>
      </c>
      <c r="J31" s="17">
        <f>IF(OR($B31="",J$5=""),"",IFERROR(SUMIFS(nrES_Rec,nrES_PID,$B31,nrES_Code,J$5,nrES_Final,"Yes"),""))</f>
        <v/>
      </c>
      <c r="K31" s="17">
        <f>IF(OR($B31="",K$5=""),"",IFERROR(SUMIFS(nrES_Rec,nrES_PID,$B31,nrES_Code,K$5,nrES_Final,"Yes"),""))</f>
        <v/>
      </c>
      <c r="L31" s="17">
        <f>IF(OR($B31="",L$5=""),"",IFERROR(SUMIFS(nrES_Rec,nrES_PID,$B31,nrES_Code,L$5,nrES_Final,"Yes"),""))</f>
        <v/>
      </c>
      <c r="M31" s="17">
        <f>IF(OR($B31="",M$5=""),"",IFERROR(SUMIFS(nrES_Rec,nrES_PID,$B31,nrES_Code,M$5,nrES_Final,"Yes"),""))</f>
        <v/>
      </c>
      <c r="N31" s="17">
        <f>IF(OR($B31="",N$5=""),"",IFERROR(SUMIFS(nrES_Rec,nrES_PID,$B31,nrES_Code,N$5,nrES_Final,"Yes"),""))</f>
        <v/>
      </c>
      <c r="O31" s="17">
        <f>IF(OR($B31="",O$5=""),"",IFERROR(SUMIFS(nrES_Rec,nrES_PID,$B31,nrES_Code,O$5,nrES_Final,"Yes"),""))</f>
        <v/>
      </c>
      <c r="P31" s="17">
        <f>IF(OR($B31="",P$5=""),"",IFERROR(SUMIFS(nrES_Rec,nrES_PID,$B31,nrES_Code,P$5,nrES_Final,"Yes"),""))</f>
        <v/>
      </c>
      <c r="Q31" s="17">
        <f>IF(OR($B31="",Q$5=""),"",IFERROR(SUMIFS(nrES_Rec,nrES_PID,$B31,nrES_Code,Q$5,nrES_Final,"Yes"),""))</f>
        <v/>
      </c>
      <c r="R31" s="17">
        <f>IF(OR($B31="",R$5=""),"",IFERROR(SUMIFS(nrES_Rec,nrES_PID,$B31,nrES_Code,R$5,nrES_Final,"Yes"),""))</f>
        <v/>
      </c>
      <c r="S31" s="17">
        <f>IF(OR($B31="",S$5=""),"",IFERROR(SUMIFS(nrES_Rec,nrES_PID,$B31,nrES_Code,S$5,nrES_Final,"Yes"),""))</f>
        <v/>
      </c>
      <c r="T31" s="17">
        <f>IF(OR($B31="",T$5=""),"",IFERROR(SUMIFS(nrES_Rec,nrES_PID,$B31,nrES_Code,T$5,nrES_Final,"Yes"),""))</f>
        <v/>
      </c>
      <c r="U31" s="17">
        <f>IF(OR($B31="",U$5=""),"",IFERROR(SUMIFS(nrES_Rec,nrES_PID,$B31,nrES_Code,U$5,nrES_Final,"Yes"),""))</f>
        <v/>
      </c>
      <c r="V31" s="17">
        <f>IF(OR($B31="",V$5=""),"",IFERROR(SUMIFS(nrES_Rec,nrES_PID,$B31,nrES_Code,V$5,nrES_Final,"Yes"),""))</f>
        <v/>
      </c>
      <c r="W31" s="17">
        <f>IF(OR($B31="",W$5=""),"",IFERROR(SUMIFS(nrES_Rec,nrES_PID,$B31,nrES_Code,W$5,nrES_Final,"Yes"),""))</f>
        <v/>
      </c>
      <c r="X31" s="17">
        <f>IF(OR($B31="",X$5=""),"",IFERROR(SUMIFS(nrES_Rec,nrES_PID,$B31,nrES_Code,X$5,nrES_Final,"Yes"),""))</f>
        <v/>
      </c>
      <c r="Y31" s="17">
        <f>IF(OR($B31="",Y$5=""),"",IFERROR(SUMIFS(nrES_Rec,nrES_PID,$B31,nrES_Code,Y$5,nrES_Final,"Yes"),""))</f>
        <v/>
      </c>
      <c r="Z31" s="17">
        <f>IF(OR($B31="",Z$5=""),"",IFERROR(SUMIFS(nrES_Rec,nrES_PID,$B31,nrES_Code,Z$5,nrES_Final,"Yes"),""))</f>
        <v/>
      </c>
      <c r="AA31" s="17">
        <f>IF(OR($B31="",AA$5=""),"",IFERROR(SUMIFS(nrES_Rec,nrES_PID,$B31,nrES_Code,AA$5,nrES_Final,"Yes"),""))</f>
        <v/>
      </c>
      <c r="AB31" s="17">
        <f>IF(OR($B31="",AB$5=""),"",IFERROR(SUMIFS(nrES_Rec,nrES_PID,$B31,nrES_Code,AB$5,nrES_Final,"Yes"),""))</f>
        <v/>
      </c>
      <c r="AC31" s="17">
        <f>IF($B31="","",sysGrades!$M31)</f>
        <v/>
      </c>
      <c r="AD31" s="17">
        <f>IF($B31="","",IFERROR(sysGrades!$U31,""))</f>
        <v/>
      </c>
    </row>
    <row r="32">
      <c r="B32" s="17">
        <f>IF(Cadets!$B32="","",Cadets!$B32)</f>
        <v/>
      </c>
      <c r="C32" s="17">
        <f>IF($B32="","",Cadets!$F32)</f>
        <v/>
      </c>
      <c r="D32" s="17">
        <f>IF(OR($B32="",D$5=""),"",IFERROR(SUMIFS(nrES_Rec,nrES_PID,$B32,nrES_Code,D$5,nrES_Final,"Yes"),""))</f>
        <v/>
      </c>
      <c r="E32" s="17">
        <f>IF(OR($B32="",E$5=""),"",IFERROR(SUMIFS(nrES_Rec,nrES_PID,$B32,nrES_Code,E$5,nrES_Final,"Yes"),""))</f>
        <v/>
      </c>
      <c r="F32" s="17">
        <f>IF(OR($B32="",F$5=""),"",IFERROR(SUMIFS(nrES_Rec,nrES_PID,$B32,nrES_Code,F$5,nrES_Final,"Yes"),""))</f>
        <v/>
      </c>
      <c r="G32" s="17">
        <f>IF(OR($B32="",G$5=""),"",IFERROR(SUMIFS(nrES_Rec,nrES_PID,$B32,nrES_Code,G$5,nrES_Final,"Yes"),""))</f>
        <v/>
      </c>
      <c r="H32" s="17">
        <f>IF(OR($B32="",H$5=""),"",IFERROR(SUMIFS(nrES_Rec,nrES_PID,$B32,nrES_Code,H$5,nrES_Final,"Yes"),""))</f>
        <v/>
      </c>
      <c r="I32" s="17">
        <f>IF(OR($B32="",I$5=""),"",IFERROR(SUMIFS(nrES_Rec,nrES_PID,$B32,nrES_Code,I$5,nrES_Final,"Yes"),""))</f>
        <v/>
      </c>
      <c r="J32" s="17">
        <f>IF(OR($B32="",J$5=""),"",IFERROR(SUMIFS(nrES_Rec,nrES_PID,$B32,nrES_Code,J$5,nrES_Final,"Yes"),""))</f>
        <v/>
      </c>
      <c r="K32" s="17">
        <f>IF(OR($B32="",K$5=""),"",IFERROR(SUMIFS(nrES_Rec,nrES_PID,$B32,nrES_Code,K$5,nrES_Final,"Yes"),""))</f>
        <v/>
      </c>
      <c r="L32" s="17">
        <f>IF(OR($B32="",L$5=""),"",IFERROR(SUMIFS(nrES_Rec,nrES_PID,$B32,nrES_Code,L$5,nrES_Final,"Yes"),""))</f>
        <v/>
      </c>
      <c r="M32" s="17">
        <f>IF(OR($B32="",M$5=""),"",IFERROR(SUMIFS(nrES_Rec,nrES_PID,$B32,nrES_Code,M$5,nrES_Final,"Yes"),""))</f>
        <v/>
      </c>
      <c r="N32" s="17">
        <f>IF(OR($B32="",N$5=""),"",IFERROR(SUMIFS(nrES_Rec,nrES_PID,$B32,nrES_Code,N$5,nrES_Final,"Yes"),""))</f>
        <v/>
      </c>
      <c r="O32" s="17">
        <f>IF(OR($B32="",O$5=""),"",IFERROR(SUMIFS(nrES_Rec,nrES_PID,$B32,nrES_Code,O$5,nrES_Final,"Yes"),""))</f>
        <v/>
      </c>
      <c r="P32" s="17">
        <f>IF(OR($B32="",P$5=""),"",IFERROR(SUMIFS(nrES_Rec,nrES_PID,$B32,nrES_Code,P$5,nrES_Final,"Yes"),""))</f>
        <v/>
      </c>
      <c r="Q32" s="17">
        <f>IF(OR($B32="",Q$5=""),"",IFERROR(SUMIFS(nrES_Rec,nrES_PID,$B32,nrES_Code,Q$5,nrES_Final,"Yes"),""))</f>
        <v/>
      </c>
      <c r="R32" s="17">
        <f>IF(OR($B32="",R$5=""),"",IFERROR(SUMIFS(nrES_Rec,nrES_PID,$B32,nrES_Code,R$5,nrES_Final,"Yes"),""))</f>
        <v/>
      </c>
      <c r="S32" s="17">
        <f>IF(OR($B32="",S$5=""),"",IFERROR(SUMIFS(nrES_Rec,nrES_PID,$B32,nrES_Code,S$5,nrES_Final,"Yes"),""))</f>
        <v/>
      </c>
      <c r="T32" s="17">
        <f>IF(OR($B32="",T$5=""),"",IFERROR(SUMIFS(nrES_Rec,nrES_PID,$B32,nrES_Code,T$5,nrES_Final,"Yes"),""))</f>
        <v/>
      </c>
      <c r="U32" s="17">
        <f>IF(OR($B32="",U$5=""),"",IFERROR(SUMIFS(nrES_Rec,nrES_PID,$B32,nrES_Code,U$5,nrES_Final,"Yes"),""))</f>
        <v/>
      </c>
      <c r="V32" s="17">
        <f>IF(OR($B32="",V$5=""),"",IFERROR(SUMIFS(nrES_Rec,nrES_PID,$B32,nrES_Code,V$5,nrES_Final,"Yes"),""))</f>
        <v/>
      </c>
      <c r="W32" s="17">
        <f>IF(OR($B32="",W$5=""),"",IFERROR(SUMIFS(nrES_Rec,nrES_PID,$B32,nrES_Code,W$5,nrES_Final,"Yes"),""))</f>
        <v/>
      </c>
      <c r="X32" s="17">
        <f>IF(OR($B32="",X$5=""),"",IFERROR(SUMIFS(nrES_Rec,nrES_PID,$B32,nrES_Code,X$5,nrES_Final,"Yes"),""))</f>
        <v/>
      </c>
      <c r="Y32" s="17">
        <f>IF(OR($B32="",Y$5=""),"",IFERROR(SUMIFS(nrES_Rec,nrES_PID,$B32,nrES_Code,Y$5,nrES_Final,"Yes"),""))</f>
        <v/>
      </c>
      <c r="Z32" s="17">
        <f>IF(OR($B32="",Z$5=""),"",IFERROR(SUMIFS(nrES_Rec,nrES_PID,$B32,nrES_Code,Z$5,nrES_Final,"Yes"),""))</f>
        <v/>
      </c>
      <c r="AA32" s="17">
        <f>IF(OR($B32="",AA$5=""),"",IFERROR(SUMIFS(nrES_Rec,nrES_PID,$B32,nrES_Code,AA$5,nrES_Final,"Yes"),""))</f>
        <v/>
      </c>
      <c r="AB32" s="17">
        <f>IF(OR($B32="",AB$5=""),"",IFERROR(SUMIFS(nrES_Rec,nrES_PID,$B32,nrES_Code,AB$5,nrES_Final,"Yes"),""))</f>
        <v/>
      </c>
      <c r="AC32" s="17">
        <f>IF($B32="","",sysGrades!$M32)</f>
        <v/>
      </c>
      <c r="AD32" s="17">
        <f>IF($B32="","",IFERROR(sysGrades!$U32,""))</f>
        <v/>
      </c>
    </row>
    <row r="33">
      <c r="B33" s="17">
        <f>IF(Cadets!$B33="","",Cadets!$B33)</f>
        <v/>
      </c>
      <c r="C33" s="17">
        <f>IF($B33="","",Cadets!$F33)</f>
        <v/>
      </c>
      <c r="D33" s="17">
        <f>IF(OR($B33="",D$5=""),"",IFERROR(SUMIFS(nrES_Rec,nrES_PID,$B33,nrES_Code,D$5,nrES_Final,"Yes"),""))</f>
        <v/>
      </c>
      <c r="E33" s="17">
        <f>IF(OR($B33="",E$5=""),"",IFERROR(SUMIFS(nrES_Rec,nrES_PID,$B33,nrES_Code,E$5,nrES_Final,"Yes"),""))</f>
        <v/>
      </c>
      <c r="F33" s="17">
        <f>IF(OR($B33="",F$5=""),"",IFERROR(SUMIFS(nrES_Rec,nrES_PID,$B33,nrES_Code,F$5,nrES_Final,"Yes"),""))</f>
        <v/>
      </c>
      <c r="G33" s="17">
        <f>IF(OR($B33="",G$5=""),"",IFERROR(SUMIFS(nrES_Rec,nrES_PID,$B33,nrES_Code,G$5,nrES_Final,"Yes"),""))</f>
        <v/>
      </c>
      <c r="H33" s="17">
        <f>IF(OR($B33="",H$5=""),"",IFERROR(SUMIFS(nrES_Rec,nrES_PID,$B33,nrES_Code,H$5,nrES_Final,"Yes"),""))</f>
        <v/>
      </c>
      <c r="I33" s="17">
        <f>IF(OR($B33="",I$5=""),"",IFERROR(SUMIFS(nrES_Rec,nrES_PID,$B33,nrES_Code,I$5,nrES_Final,"Yes"),""))</f>
        <v/>
      </c>
      <c r="J33" s="17">
        <f>IF(OR($B33="",J$5=""),"",IFERROR(SUMIFS(nrES_Rec,nrES_PID,$B33,nrES_Code,J$5,nrES_Final,"Yes"),""))</f>
        <v/>
      </c>
      <c r="K33" s="17">
        <f>IF(OR($B33="",K$5=""),"",IFERROR(SUMIFS(nrES_Rec,nrES_PID,$B33,nrES_Code,K$5,nrES_Final,"Yes"),""))</f>
        <v/>
      </c>
      <c r="L33" s="17">
        <f>IF(OR($B33="",L$5=""),"",IFERROR(SUMIFS(nrES_Rec,nrES_PID,$B33,nrES_Code,L$5,nrES_Final,"Yes"),""))</f>
        <v/>
      </c>
      <c r="M33" s="17">
        <f>IF(OR($B33="",M$5=""),"",IFERROR(SUMIFS(nrES_Rec,nrES_PID,$B33,nrES_Code,M$5,nrES_Final,"Yes"),""))</f>
        <v/>
      </c>
      <c r="N33" s="17">
        <f>IF(OR($B33="",N$5=""),"",IFERROR(SUMIFS(nrES_Rec,nrES_PID,$B33,nrES_Code,N$5,nrES_Final,"Yes"),""))</f>
        <v/>
      </c>
      <c r="O33" s="17">
        <f>IF(OR($B33="",O$5=""),"",IFERROR(SUMIFS(nrES_Rec,nrES_PID,$B33,nrES_Code,O$5,nrES_Final,"Yes"),""))</f>
        <v/>
      </c>
      <c r="P33" s="17">
        <f>IF(OR($B33="",P$5=""),"",IFERROR(SUMIFS(nrES_Rec,nrES_PID,$B33,nrES_Code,P$5,nrES_Final,"Yes"),""))</f>
        <v/>
      </c>
      <c r="Q33" s="17">
        <f>IF(OR($B33="",Q$5=""),"",IFERROR(SUMIFS(nrES_Rec,nrES_PID,$B33,nrES_Code,Q$5,nrES_Final,"Yes"),""))</f>
        <v/>
      </c>
      <c r="R33" s="17">
        <f>IF(OR($B33="",R$5=""),"",IFERROR(SUMIFS(nrES_Rec,nrES_PID,$B33,nrES_Code,R$5,nrES_Final,"Yes"),""))</f>
        <v/>
      </c>
      <c r="S33" s="17">
        <f>IF(OR($B33="",S$5=""),"",IFERROR(SUMIFS(nrES_Rec,nrES_PID,$B33,nrES_Code,S$5,nrES_Final,"Yes"),""))</f>
        <v/>
      </c>
      <c r="T33" s="17">
        <f>IF(OR($B33="",T$5=""),"",IFERROR(SUMIFS(nrES_Rec,nrES_PID,$B33,nrES_Code,T$5,nrES_Final,"Yes"),""))</f>
        <v/>
      </c>
      <c r="U33" s="17">
        <f>IF(OR($B33="",U$5=""),"",IFERROR(SUMIFS(nrES_Rec,nrES_PID,$B33,nrES_Code,U$5,nrES_Final,"Yes"),""))</f>
        <v/>
      </c>
      <c r="V33" s="17">
        <f>IF(OR($B33="",V$5=""),"",IFERROR(SUMIFS(nrES_Rec,nrES_PID,$B33,nrES_Code,V$5,nrES_Final,"Yes"),""))</f>
        <v/>
      </c>
      <c r="W33" s="17">
        <f>IF(OR($B33="",W$5=""),"",IFERROR(SUMIFS(nrES_Rec,nrES_PID,$B33,nrES_Code,W$5,nrES_Final,"Yes"),""))</f>
        <v/>
      </c>
      <c r="X33" s="17">
        <f>IF(OR($B33="",X$5=""),"",IFERROR(SUMIFS(nrES_Rec,nrES_PID,$B33,nrES_Code,X$5,nrES_Final,"Yes"),""))</f>
        <v/>
      </c>
      <c r="Y33" s="17">
        <f>IF(OR($B33="",Y$5=""),"",IFERROR(SUMIFS(nrES_Rec,nrES_PID,$B33,nrES_Code,Y$5,nrES_Final,"Yes"),""))</f>
        <v/>
      </c>
      <c r="Z33" s="17">
        <f>IF(OR($B33="",Z$5=""),"",IFERROR(SUMIFS(nrES_Rec,nrES_PID,$B33,nrES_Code,Z$5,nrES_Final,"Yes"),""))</f>
        <v/>
      </c>
      <c r="AA33" s="17">
        <f>IF(OR($B33="",AA$5=""),"",IFERROR(SUMIFS(nrES_Rec,nrES_PID,$B33,nrES_Code,AA$5,nrES_Final,"Yes"),""))</f>
        <v/>
      </c>
      <c r="AB33" s="17">
        <f>IF(OR($B33="",AB$5=""),"",IFERROR(SUMIFS(nrES_Rec,nrES_PID,$B33,nrES_Code,AB$5,nrES_Final,"Yes"),""))</f>
        <v/>
      </c>
      <c r="AC33" s="17">
        <f>IF($B33="","",sysGrades!$M33)</f>
        <v/>
      </c>
      <c r="AD33" s="17">
        <f>IF($B33="","",IFERROR(sysGrades!$U33,""))</f>
        <v/>
      </c>
    </row>
    <row r="34">
      <c r="B34" s="17">
        <f>IF(Cadets!$B34="","",Cadets!$B34)</f>
        <v/>
      </c>
      <c r="C34" s="17">
        <f>IF($B34="","",Cadets!$F34)</f>
        <v/>
      </c>
      <c r="D34" s="17">
        <f>IF(OR($B34="",D$5=""),"",IFERROR(SUMIFS(nrES_Rec,nrES_PID,$B34,nrES_Code,D$5,nrES_Final,"Yes"),""))</f>
        <v/>
      </c>
      <c r="E34" s="17">
        <f>IF(OR($B34="",E$5=""),"",IFERROR(SUMIFS(nrES_Rec,nrES_PID,$B34,nrES_Code,E$5,nrES_Final,"Yes"),""))</f>
        <v/>
      </c>
      <c r="F34" s="17">
        <f>IF(OR($B34="",F$5=""),"",IFERROR(SUMIFS(nrES_Rec,nrES_PID,$B34,nrES_Code,F$5,nrES_Final,"Yes"),""))</f>
        <v/>
      </c>
      <c r="G34" s="17">
        <f>IF(OR($B34="",G$5=""),"",IFERROR(SUMIFS(nrES_Rec,nrES_PID,$B34,nrES_Code,G$5,nrES_Final,"Yes"),""))</f>
        <v/>
      </c>
      <c r="H34" s="17">
        <f>IF(OR($B34="",H$5=""),"",IFERROR(SUMIFS(nrES_Rec,nrES_PID,$B34,nrES_Code,H$5,nrES_Final,"Yes"),""))</f>
        <v/>
      </c>
      <c r="I34" s="17">
        <f>IF(OR($B34="",I$5=""),"",IFERROR(SUMIFS(nrES_Rec,nrES_PID,$B34,nrES_Code,I$5,nrES_Final,"Yes"),""))</f>
        <v/>
      </c>
      <c r="J34" s="17">
        <f>IF(OR($B34="",J$5=""),"",IFERROR(SUMIFS(nrES_Rec,nrES_PID,$B34,nrES_Code,J$5,nrES_Final,"Yes"),""))</f>
        <v/>
      </c>
      <c r="K34" s="17">
        <f>IF(OR($B34="",K$5=""),"",IFERROR(SUMIFS(nrES_Rec,nrES_PID,$B34,nrES_Code,K$5,nrES_Final,"Yes"),""))</f>
        <v/>
      </c>
      <c r="L34" s="17">
        <f>IF(OR($B34="",L$5=""),"",IFERROR(SUMIFS(nrES_Rec,nrES_PID,$B34,nrES_Code,L$5,nrES_Final,"Yes"),""))</f>
        <v/>
      </c>
      <c r="M34" s="17">
        <f>IF(OR($B34="",M$5=""),"",IFERROR(SUMIFS(nrES_Rec,nrES_PID,$B34,nrES_Code,M$5,nrES_Final,"Yes"),""))</f>
        <v/>
      </c>
      <c r="N34" s="17">
        <f>IF(OR($B34="",N$5=""),"",IFERROR(SUMIFS(nrES_Rec,nrES_PID,$B34,nrES_Code,N$5,nrES_Final,"Yes"),""))</f>
        <v/>
      </c>
      <c r="O34" s="17">
        <f>IF(OR($B34="",O$5=""),"",IFERROR(SUMIFS(nrES_Rec,nrES_PID,$B34,nrES_Code,O$5,nrES_Final,"Yes"),""))</f>
        <v/>
      </c>
      <c r="P34" s="17">
        <f>IF(OR($B34="",P$5=""),"",IFERROR(SUMIFS(nrES_Rec,nrES_PID,$B34,nrES_Code,P$5,nrES_Final,"Yes"),""))</f>
        <v/>
      </c>
      <c r="Q34" s="17">
        <f>IF(OR($B34="",Q$5=""),"",IFERROR(SUMIFS(nrES_Rec,nrES_PID,$B34,nrES_Code,Q$5,nrES_Final,"Yes"),""))</f>
        <v/>
      </c>
      <c r="R34" s="17">
        <f>IF(OR($B34="",R$5=""),"",IFERROR(SUMIFS(nrES_Rec,nrES_PID,$B34,nrES_Code,R$5,nrES_Final,"Yes"),""))</f>
        <v/>
      </c>
      <c r="S34" s="17">
        <f>IF(OR($B34="",S$5=""),"",IFERROR(SUMIFS(nrES_Rec,nrES_PID,$B34,nrES_Code,S$5,nrES_Final,"Yes"),""))</f>
        <v/>
      </c>
      <c r="T34" s="17">
        <f>IF(OR($B34="",T$5=""),"",IFERROR(SUMIFS(nrES_Rec,nrES_PID,$B34,nrES_Code,T$5,nrES_Final,"Yes"),""))</f>
        <v/>
      </c>
      <c r="U34" s="17">
        <f>IF(OR($B34="",U$5=""),"",IFERROR(SUMIFS(nrES_Rec,nrES_PID,$B34,nrES_Code,U$5,nrES_Final,"Yes"),""))</f>
        <v/>
      </c>
      <c r="V34" s="17">
        <f>IF(OR($B34="",V$5=""),"",IFERROR(SUMIFS(nrES_Rec,nrES_PID,$B34,nrES_Code,V$5,nrES_Final,"Yes"),""))</f>
        <v/>
      </c>
      <c r="W34" s="17">
        <f>IF(OR($B34="",W$5=""),"",IFERROR(SUMIFS(nrES_Rec,nrES_PID,$B34,nrES_Code,W$5,nrES_Final,"Yes"),""))</f>
        <v/>
      </c>
      <c r="X34" s="17">
        <f>IF(OR($B34="",X$5=""),"",IFERROR(SUMIFS(nrES_Rec,nrES_PID,$B34,nrES_Code,X$5,nrES_Final,"Yes"),""))</f>
        <v/>
      </c>
      <c r="Y34" s="17">
        <f>IF(OR($B34="",Y$5=""),"",IFERROR(SUMIFS(nrES_Rec,nrES_PID,$B34,nrES_Code,Y$5,nrES_Final,"Yes"),""))</f>
        <v/>
      </c>
      <c r="Z34" s="17">
        <f>IF(OR($B34="",Z$5=""),"",IFERROR(SUMIFS(nrES_Rec,nrES_PID,$B34,nrES_Code,Z$5,nrES_Final,"Yes"),""))</f>
        <v/>
      </c>
      <c r="AA34" s="17">
        <f>IF(OR($B34="",AA$5=""),"",IFERROR(SUMIFS(nrES_Rec,nrES_PID,$B34,nrES_Code,AA$5,nrES_Final,"Yes"),""))</f>
        <v/>
      </c>
      <c r="AB34" s="17">
        <f>IF(OR($B34="",AB$5=""),"",IFERROR(SUMIFS(nrES_Rec,nrES_PID,$B34,nrES_Code,AB$5,nrES_Final,"Yes"),""))</f>
        <v/>
      </c>
      <c r="AC34" s="17">
        <f>IF($B34="","",sysGrades!$M34)</f>
        <v/>
      </c>
      <c r="AD34" s="17">
        <f>IF($B34="","",IFERROR(sysGrades!$U34,""))</f>
        <v/>
      </c>
    </row>
    <row r="35">
      <c r="B35" s="17">
        <f>IF(Cadets!$B35="","",Cadets!$B35)</f>
        <v/>
      </c>
      <c r="C35" s="17">
        <f>IF($B35="","",Cadets!$F35)</f>
        <v/>
      </c>
      <c r="D35" s="17">
        <f>IF(OR($B35="",D$5=""),"",IFERROR(SUMIFS(nrES_Rec,nrES_PID,$B35,nrES_Code,D$5,nrES_Final,"Yes"),""))</f>
        <v/>
      </c>
      <c r="E35" s="17">
        <f>IF(OR($B35="",E$5=""),"",IFERROR(SUMIFS(nrES_Rec,nrES_PID,$B35,nrES_Code,E$5,nrES_Final,"Yes"),""))</f>
        <v/>
      </c>
      <c r="F35" s="17">
        <f>IF(OR($B35="",F$5=""),"",IFERROR(SUMIFS(nrES_Rec,nrES_PID,$B35,nrES_Code,F$5,nrES_Final,"Yes"),""))</f>
        <v/>
      </c>
      <c r="G35" s="17">
        <f>IF(OR($B35="",G$5=""),"",IFERROR(SUMIFS(nrES_Rec,nrES_PID,$B35,nrES_Code,G$5,nrES_Final,"Yes"),""))</f>
        <v/>
      </c>
      <c r="H35" s="17">
        <f>IF(OR($B35="",H$5=""),"",IFERROR(SUMIFS(nrES_Rec,nrES_PID,$B35,nrES_Code,H$5,nrES_Final,"Yes"),""))</f>
        <v/>
      </c>
      <c r="I35" s="17">
        <f>IF(OR($B35="",I$5=""),"",IFERROR(SUMIFS(nrES_Rec,nrES_PID,$B35,nrES_Code,I$5,nrES_Final,"Yes"),""))</f>
        <v/>
      </c>
      <c r="J35" s="17">
        <f>IF(OR($B35="",J$5=""),"",IFERROR(SUMIFS(nrES_Rec,nrES_PID,$B35,nrES_Code,J$5,nrES_Final,"Yes"),""))</f>
        <v/>
      </c>
      <c r="K35" s="17">
        <f>IF(OR($B35="",K$5=""),"",IFERROR(SUMIFS(nrES_Rec,nrES_PID,$B35,nrES_Code,K$5,nrES_Final,"Yes"),""))</f>
        <v/>
      </c>
      <c r="L35" s="17">
        <f>IF(OR($B35="",L$5=""),"",IFERROR(SUMIFS(nrES_Rec,nrES_PID,$B35,nrES_Code,L$5,nrES_Final,"Yes"),""))</f>
        <v/>
      </c>
      <c r="M35" s="17">
        <f>IF(OR($B35="",M$5=""),"",IFERROR(SUMIFS(nrES_Rec,nrES_PID,$B35,nrES_Code,M$5,nrES_Final,"Yes"),""))</f>
        <v/>
      </c>
      <c r="N35" s="17">
        <f>IF(OR($B35="",N$5=""),"",IFERROR(SUMIFS(nrES_Rec,nrES_PID,$B35,nrES_Code,N$5,nrES_Final,"Yes"),""))</f>
        <v/>
      </c>
      <c r="O35" s="17">
        <f>IF(OR($B35="",O$5=""),"",IFERROR(SUMIFS(nrES_Rec,nrES_PID,$B35,nrES_Code,O$5,nrES_Final,"Yes"),""))</f>
        <v/>
      </c>
      <c r="P35" s="17">
        <f>IF(OR($B35="",P$5=""),"",IFERROR(SUMIFS(nrES_Rec,nrES_PID,$B35,nrES_Code,P$5,nrES_Final,"Yes"),""))</f>
        <v/>
      </c>
      <c r="Q35" s="17">
        <f>IF(OR($B35="",Q$5=""),"",IFERROR(SUMIFS(nrES_Rec,nrES_PID,$B35,nrES_Code,Q$5,nrES_Final,"Yes"),""))</f>
        <v/>
      </c>
      <c r="R35" s="17">
        <f>IF(OR($B35="",R$5=""),"",IFERROR(SUMIFS(nrES_Rec,nrES_PID,$B35,nrES_Code,R$5,nrES_Final,"Yes"),""))</f>
        <v/>
      </c>
      <c r="S35" s="17">
        <f>IF(OR($B35="",S$5=""),"",IFERROR(SUMIFS(nrES_Rec,nrES_PID,$B35,nrES_Code,S$5,nrES_Final,"Yes"),""))</f>
        <v/>
      </c>
      <c r="T35" s="17">
        <f>IF(OR($B35="",T$5=""),"",IFERROR(SUMIFS(nrES_Rec,nrES_PID,$B35,nrES_Code,T$5,nrES_Final,"Yes"),""))</f>
        <v/>
      </c>
      <c r="U35" s="17">
        <f>IF(OR($B35="",U$5=""),"",IFERROR(SUMIFS(nrES_Rec,nrES_PID,$B35,nrES_Code,U$5,nrES_Final,"Yes"),""))</f>
        <v/>
      </c>
      <c r="V35" s="17">
        <f>IF(OR($B35="",V$5=""),"",IFERROR(SUMIFS(nrES_Rec,nrES_PID,$B35,nrES_Code,V$5,nrES_Final,"Yes"),""))</f>
        <v/>
      </c>
      <c r="W35" s="17">
        <f>IF(OR($B35="",W$5=""),"",IFERROR(SUMIFS(nrES_Rec,nrES_PID,$B35,nrES_Code,W$5,nrES_Final,"Yes"),""))</f>
        <v/>
      </c>
      <c r="X35" s="17">
        <f>IF(OR($B35="",X$5=""),"",IFERROR(SUMIFS(nrES_Rec,nrES_PID,$B35,nrES_Code,X$5,nrES_Final,"Yes"),""))</f>
        <v/>
      </c>
      <c r="Y35" s="17">
        <f>IF(OR($B35="",Y$5=""),"",IFERROR(SUMIFS(nrES_Rec,nrES_PID,$B35,nrES_Code,Y$5,nrES_Final,"Yes"),""))</f>
        <v/>
      </c>
      <c r="Z35" s="17">
        <f>IF(OR($B35="",Z$5=""),"",IFERROR(SUMIFS(nrES_Rec,nrES_PID,$B35,nrES_Code,Z$5,nrES_Final,"Yes"),""))</f>
        <v/>
      </c>
      <c r="AA35" s="17">
        <f>IF(OR($B35="",AA$5=""),"",IFERROR(SUMIFS(nrES_Rec,nrES_PID,$B35,nrES_Code,AA$5,nrES_Final,"Yes"),""))</f>
        <v/>
      </c>
      <c r="AB35" s="17">
        <f>IF(OR($B35="",AB$5=""),"",IFERROR(SUMIFS(nrES_Rec,nrES_PID,$B35,nrES_Code,AB$5,nrES_Final,"Yes"),""))</f>
        <v/>
      </c>
      <c r="AC35" s="17">
        <f>IF($B35="","",sysGrades!$M35)</f>
        <v/>
      </c>
      <c r="AD35" s="17">
        <f>IF($B35="","",IFERROR(sysGrades!$U35,""))</f>
        <v/>
      </c>
    </row>
    <row r="36">
      <c r="B36" s="17">
        <f>IF(Cadets!$B36="","",Cadets!$B36)</f>
        <v/>
      </c>
      <c r="C36" s="17">
        <f>IF($B36="","",Cadets!$F36)</f>
        <v/>
      </c>
      <c r="D36" s="17">
        <f>IF(OR($B36="",D$5=""),"",IFERROR(SUMIFS(nrES_Rec,nrES_PID,$B36,nrES_Code,D$5,nrES_Final,"Yes"),""))</f>
        <v/>
      </c>
      <c r="E36" s="17">
        <f>IF(OR($B36="",E$5=""),"",IFERROR(SUMIFS(nrES_Rec,nrES_PID,$B36,nrES_Code,E$5,nrES_Final,"Yes"),""))</f>
        <v/>
      </c>
      <c r="F36" s="17">
        <f>IF(OR($B36="",F$5=""),"",IFERROR(SUMIFS(nrES_Rec,nrES_PID,$B36,nrES_Code,F$5,nrES_Final,"Yes"),""))</f>
        <v/>
      </c>
      <c r="G36" s="17">
        <f>IF(OR($B36="",G$5=""),"",IFERROR(SUMIFS(nrES_Rec,nrES_PID,$B36,nrES_Code,G$5,nrES_Final,"Yes"),""))</f>
        <v/>
      </c>
      <c r="H36" s="17">
        <f>IF(OR($B36="",H$5=""),"",IFERROR(SUMIFS(nrES_Rec,nrES_PID,$B36,nrES_Code,H$5,nrES_Final,"Yes"),""))</f>
        <v/>
      </c>
      <c r="I36" s="17">
        <f>IF(OR($B36="",I$5=""),"",IFERROR(SUMIFS(nrES_Rec,nrES_PID,$B36,nrES_Code,I$5,nrES_Final,"Yes"),""))</f>
        <v/>
      </c>
      <c r="J36" s="17">
        <f>IF(OR($B36="",J$5=""),"",IFERROR(SUMIFS(nrES_Rec,nrES_PID,$B36,nrES_Code,J$5,nrES_Final,"Yes"),""))</f>
        <v/>
      </c>
      <c r="K36" s="17">
        <f>IF(OR($B36="",K$5=""),"",IFERROR(SUMIFS(nrES_Rec,nrES_PID,$B36,nrES_Code,K$5,nrES_Final,"Yes"),""))</f>
        <v/>
      </c>
      <c r="L36" s="17">
        <f>IF(OR($B36="",L$5=""),"",IFERROR(SUMIFS(nrES_Rec,nrES_PID,$B36,nrES_Code,L$5,nrES_Final,"Yes"),""))</f>
        <v/>
      </c>
      <c r="M36" s="17">
        <f>IF(OR($B36="",M$5=""),"",IFERROR(SUMIFS(nrES_Rec,nrES_PID,$B36,nrES_Code,M$5,nrES_Final,"Yes"),""))</f>
        <v/>
      </c>
      <c r="N36" s="17">
        <f>IF(OR($B36="",N$5=""),"",IFERROR(SUMIFS(nrES_Rec,nrES_PID,$B36,nrES_Code,N$5,nrES_Final,"Yes"),""))</f>
        <v/>
      </c>
      <c r="O36" s="17">
        <f>IF(OR($B36="",O$5=""),"",IFERROR(SUMIFS(nrES_Rec,nrES_PID,$B36,nrES_Code,O$5,nrES_Final,"Yes"),""))</f>
        <v/>
      </c>
      <c r="P36" s="17">
        <f>IF(OR($B36="",P$5=""),"",IFERROR(SUMIFS(nrES_Rec,nrES_PID,$B36,nrES_Code,P$5,nrES_Final,"Yes"),""))</f>
        <v/>
      </c>
      <c r="Q36" s="17">
        <f>IF(OR($B36="",Q$5=""),"",IFERROR(SUMIFS(nrES_Rec,nrES_PID,$B36,nrES_Code,Q$5,nrES_Final,"Yes"),""))</f>
        <v/>
      </c>
      <c r="R36" s="17">
        <f>IF(OR($B36="",R$5=""),"",IFERROR(SUMIFS(nrES_Rec,nrES_PID,$B36,nrES_Code,R$5,nrES_Final,"Yes"),""))</f>
        <v/>
      </c>
      <c r="S36" s="17">
        <f>IF(OR($B36="",S$5=""),"",IFERROR(SUMIFS(nrES_Rec,nrES_PID,$B36,nrES_Code,S$5,nrES_Final,"Yes"),""))</f>
        <v/>
      </c>
      <c r="T36" s="17">
        <f>IF(OR($B36="",T$5=""),"",IFERROR(SUMIFS(nrES_Rec,nrES_PID,$B36,nrES_Code,T$5,nrES_Final,"Yes"),""))</f>
        <v/>
      </c>
      <c r="U36" s="17">
        <f>IF(OR($B36="",U$5=""),"",IFERROR(SUMIFS(nrES_Rec,nrES_PID,$B36,nrES_Code,U$5,nrES_Final,"Yes"),""))</f>
        <v/>
      </c>
      <c r="V36" s="17">
        <f>IF(OR($B36="",V$5=""),"",IFERROR(SUMIFS(nrES_Rec,nrES_PID,$B36,nrES_Code,V$5,nrES_Final,"Yes"),""))</f>
        <v/>
      </c>
      <c r="W36" s="17">
        <f>IF(OR($B36="",W$5=""),"",IFERROR(SUMIFS(nrES_Rec,nrES_PID,$B36,nrES_Code,W$5,nrES_Final,"Yes"),""))</f>
        <v/>
      </c>
      <c r="X36" s="17">
        <f>IF(OR($B36="",X$5=""),"",IFERROR(SUMIFS(nrES_Rec,nrES_PID,$B36,nrES_Code,X$5,nrES_Final,"Yes"),""))</f>
        <v/>
      </c>
      <c r="Y36" s="17">
        <f>IF(OR($B36="",Y$5=""),"",IFERROR(SUMIFS(nrES_Rec,nrES_PID,$B36,nrES_Code,Y$5,nrES_Final,"Yes"),""))</f>
        <v/>
      </c>
      <c r="Z36" s="17">
        <f>IF(OR($B36="",Z$5=""),"",IFERROR(SUMIFS(nrES_Rec,nrES_PID,$B36,nrES_Code,Z$5,nrES_Final,"Yes"),""))</f>
        <v/>
      </c>
      <c r="AA36" s="17">
        <f>IF(OR($B36="",AA$5=""),"",IFERROR(SUMIFS(nrES_Rec,nrES_PID,$B36,nrES_Code,AA$5,nrES_Final,"Yes"),""))</f>
        <v/>
      </c>
      <c r="AB36" s="17">
        <f>IF(OR($B36="",AB$5=""),"",IFERROR(SUMIFS(nrES_Rec,nrES_PID,$B36,nrES_Code,AB$5,nrES_Final,"Yes"),""))</f>
        <v/>
      </c>
      <c r="AC36" s="17">
        <f>IF($B36="","",sysGrades!$M36)</f>
        <v/>
      </c>
      <c r="AD36" s="17">
        <f>IF($B36="","",IFERROR(sysGrades!$U36,""))</f>
        <v/>
      </c>
    </row>
    <row r="37">
      <c r="B37" s="17">
        <f>IF(Cadets!$B37="","",Cadets!$B37)</f>
        <v/>
      </c>
      <c r="C37" s="17">
        <f>IF($B37="","",Cadets!$F37)</f>
        <v/>
      </c>
      <c r="D37" s="17">
        <f>IF(OR($B37="",D$5=""),"",IFERROR(SUMIFS(nrES_Rec,nrES_PID,$B37,nrES_Code,D$5,nrES_Final,"Yes"),""))</f>
        <v/>
      </c>
      <c r="E37" s="17">
        <f>IF(OR($B37="",E$5=""),"",IFERROR(SUMIFS(nrES_Rec,nrES_PID,$B37,nrES_Code,E$5,nrES_Final,"Yes"),""))</f>
        <v/>
      </c>
      <c r="F37" s="17">
        <f>IF(OR($B37="",F$5=""),"",IFERROR(SUMIFS(nrES_Rec,nrES_PID,$B37,nrES_Code,F$5,nrES_Final,"Yes"),""))</f>
        <v/>
      </c>
      <c r="G37" s="17">
        <f>IF(OR($B37="",G$5=""),"",IFERROR(SUMIFS(nrES_Rec,nrES_PID,$B37,nrES_Code,G$5,nrES_Final,"Yes"),""))</f>
        <v/>
      </c>
      <c r="H37" s="17">
        <f>IF(OR($B37="",H$5=""),"",IFERROR(SUMIFS(nrES_Rec,nrES_PID,$B37,nrES_Code,H$5,nrES_Final,"Yes"),""))</f>
        <v/>
      </c>
      <c r="I37" s="17">
        <f>IF(OR($B37="",I$5=""),"",IFERROR(SUMIFS(nrES_Rec,nrES_PID,$B37,nrES_Code,I$5,nrES_Final,"Yes"),""))</f>
        <v/>
      </c>
      <c r="J37" s="17">
        <f>IF(OR($B37="",J$5=""),"",IFERROR(SUMIFS(nrES_Rec,nrES_PID,$B37,nrES_Code,J$5,nrES_Final,"Yes"),""))</f>
        <v/>
      </c>
      <c r="K37" s="17">
        <f>IF(OR($B37="",K$5=""),"",IFERROR(SUMIFS(nrES_Rec,nrES_PID,$B37,nrES_Code,K$5,nrES_Final,"Yes"),""))</f>
        <v/>
      </c>
      <c r="L37" s="17">
        <f>IF(OR($B37="",L$5=""),"",IFERROR(SUMIFS(nrES_Rec,nrES_PID,$B37,nrES_Code,L$5,nrES_Final,"Yes"),""))</f>
        <v/>
      </c>
      <c r="M37" s="17">
        <f>IF(OR($B37="",M$5=""),"",IFERROR(SUMIFS(nrES_Rec,nrES_PID,$B37,nrES_Code,M$5,nrES_Final,"Yes"),""))</f>
        <v/>
      </c>
      <c r="N37" s="17">
        <f>IF(OR($B37="",N$5=""),"",IFERROR(SUMIFS(nrES_Rec,nrES_PID,$B37,nrES_Code,N$5,nrES_Final,"Yes"),""))</f>
        <v/>
      </c>
      <c r="O37" s="17">
        <f>IF(OR($B37="",O$5=""),"",IFERROR(SUMIFS(nrES_Rec,nrES_PID,$B37,nrES_Code,O$5,nrES_Final,"Yes"),""))</f>
        <v/>
      </c>
      <c r="P37" s="17">
        <f>IF(OR($B37="",P$5=""),"",IFERROR(SUMIFS(nrES_Rec,nrES_PID,$B37,nrES_Code,P$5,nrES_Final,"Yes"),""))</f>
        <v/>
      </c>
      <c r="Q37" s="17">
        <f>IF(OR($B37="",Q$5=""),"",IFERROR(SUMIFS(nrES_Rec,nrES_PID,$B37,nrES_Code,Q$5,nrES_Final,"Yes"),""))</f>
        <v/>
      </c>
      <c r="R37" s="17">
        <f>IF(OR($B37="",R$5=""),"",IFERROR(SUMIFS(nrES_Rec,nrES_PID,$B37,nrES_Code,R$5,nrES_Final,"Yes"),""))</f>
        <v/>
      </c>
      <c r="S37" s="17">
        <f>IF(OR($B37="",S$5=""),"",IFERROR(SUMIFS(nrES_Rec,nrES_PID,$B37,nrES_Code,S$5,nrES_Final,"Yes"),""))</f>
        <v/>
      </c>
      <c r="T37" s="17">
        <f>IF(OR($B37="",T$5=""),"",IFERROR(SUMIFS(nrES_Rec,nrES_PID,$B37,nrES_Code,T$5,nrES_Final,"Yes"),""))</f>
        <v/>
      </c>
      <c r="U37" s="17">
        <f>IF(OR($B37="",U$5=""),"",IFERROR(SUMIFS(nrES_Rec,nrES_PID,$B37,nrES_Code,U$5,nrES_Final,"Yes"),""))</f>
        <v/>
      </c>
      <c r="V37" s="17">
        <f>IF(OR($B37="",V$5=""),"",IFERROR(SUMIFS(nrES_Rec,nrES_PID,$B37,nrES_Code,V$5,nrES_Final,"Yes"),""))</f>
        <v/>
      </c>
      <c r="W37" s="17">
        <f>IF(OR($B37="",W$5=""),"",IFERROR(SUMIFS(nrES_Rec,nrES_PID,$B37,nrES_Code,W$5,nrES_Final,"Yes"),""))</f>
        <v/>
      </c>
      <c r="X37" s="17">
        <f>IF(OR($B37="",X$5=""),"",IFERROR(SUMIFS(nrES_Rec,nrES_PID,$B37,nrES_Code,X$5,nrES_Final,"Yes"),""))</f>
        <v/>
      </c>
      <c r="Y37" s="17">
        <f>IF(OR($B37="",Y$5=""),"",IFERROR(SUMIFS(nrES_Rec,nrES_PID,$B37,nrES_Code,Y$5,nrES_Final,"Yes"),""))</f>
        <v/>
      </c>
      <c r="Z37" s="17">
        <f>IF(OR($B37="",Z$5=""),"",IFERROR(SUMIFS(nrES_Rec,nrES_PID,$B37,nrES_Code,Z$5,nrES_Final,"Yes"),""))</f>
        <v/>
      </c>
      <c r="AA37" s="17">
        <f>IF(OR($B37="",AA$5=""),"",IFERROR(SUMIFS(nrES_Rec,nrES_PID,$B37,nrES_Code,AA$5,nrES_Final,"Yes"),""))</f>
        <v/>
      </c>
      <c r="AB37" s="17">
        <f>IF(OR($B37="",AB$5=""),"",IFERROR(SUMIFS(nrES_Rec,nrES_PID,$B37,nrES_Code,AB$5,nrES_Final,"Yes"),""))</f>
        <v/>
      </c>
      <c r="AC37" s="17">
        <f>IF($B37="","",sysGrades!$M37)</f>
        <v/>
      </c>
      <c r="AD37" s="17">
        <f>IF($B37="","",IFERROR(sysGrades!$U37,""))</f>
        <v/>
      </c>
    </row>
    <row r="38">
      <c r="B38" s="17">
        <f>IF(Cadets!$B38="","",Cadets!$B38)</f>
        <v/>
      </c>
      <c r="C38" s="17">
        <f>IF($B38="","",Cadets!$F38)</f>
        <v/>
      </c>
      <c r="D38" s="17">
        <f>IF(OR($B38="",D$5=""),"",IFERROR(SUMIFS(nrES_Rec,nrES_PID,$B38,nrES_Code,D$5,nrES_Final,"Yes"),""))</f>
        <v/>
      </c>
      <c r="E38" s="17">
        <f>IF(OR($B38="",E$5=""),"",IFERROR(SUMIFS(nrES_Rec,nrES_PID,$B38,nrES_Code,E$5,nrES_Final,"Yes"),""))</f>
        <v/>
      </c>
      <c r="F38" s="17">
        <f>IF(OR($B38="",F$5=""),"",IFERROR(SUMIFS(nrES_Rec,nrES_PID,$B38,nrES_Code,F$5,nrES_Final,"Yes"),""))</f>
        <v/>
      </c>
      <c r="G38" s="17">
        <f>IF(OR($B38="",G$5=""),"",IFERROR(SUMIFS(nrES_Rec,nrES_PID,$B38,nrES_Code,G$5,nrES_Final,"Yes"),""))</f>
        <v/>
      </c>
      <c r="H38" s="17">
        <f>IF(OR($B38="",H$5=""),"",IFERROR(SUMIFS(nrES_Rec,nrES_PID,$B38,nrES_Code,H$5,nrES_Final,"Yes"),""))</f>
        <v/>
      </c>
      <c r="I38" s="17">
        <f>IF(OR($B38="",I$5=""),"",IFERROR(SUMIFS(nrES_Rec,nrES_PID,$B38,nrES_Code,I$5,nrES_Final,"Yes"),""))</f>
        <v/>
      </c>
      <c r="J38" s="17">
        <f>IF(OR($B38="",J$5=""),"",IFERROR(SUMIFS(nrES_Rec,nrES_PID,$B38,nrES_Code,J$5,nrES_Final,"Yes"),""))</f>
        <v/>
      </c>
      <c r="K38" s="17">
        <f>IF(OR($B38="",K$5=""),"",IFERROR(SUMIFS(nrES_Rec,nrES_PID,$B38,nrES_Code,K$5,nrES_Final,"Yes"),""))</f>
        <v/>
      </c>
      <c r="L38" s="17">
        <f>IF(OR($B38="",L$5=""),"",IFERROR(SUMIFS(nrES_Rec,nrES_PID,$B38,nrES_Code,L$5,nrES_Final,"Yes"),""))</f>
        <v/>
      </c>
      <c r="M38" s="17">
        <f>IF(OR($B38="",M$5=""),"",IFERROR(SUMIFS(nrES_Rec,nrES_PID,$B38,nrES_Code,M$5,nrES_Final,"Yes"),""))</f>
        <v/>
      </c>
      <c r="N38" s="17">
        <f>IF(OR($B38="",N$5=""),"",IFERROR(SUMIFS(nrES_Rec,nrES_PID,$B38,nrES_Code,N$5,nrES_Final,"Yes"),""))</f>
        <v/>
      </c>
      <c r="O38" s="17">
        <f>IF(OR($B38="",O$5=""),"",IFERROR(SUMIFS(nrES_Rec,nrES_PID,$B38,nrES_Code,O$5,nrES_Final,"Yes"),""))</f>
        <v/>
      </c>
      <c r="P38" s="17">
        <f>IF(OR($B38="",P$5=""),"",IFERROR(SUMIFS(nrES_Rec,nrES_PID,$B38,nrES_Code,P$5,nrES_Final,"Yes"),""))</f>
        <v/>
      </c>
      <c r="Q38" s="17">
        <f>IF(OR($B38="",Q$5=""),"",IFERROR(SUMIFS(nrES_Rec,nrES_PID,$B38,nrES_Code,Q$5,nrES_Final,"Yes"),""))</f>
        <v/>
      </c>
      <c r="R38" s="17">
        <f>IF(OR($B38="",R$5=""),"",IFERROR(SUMIFS(nrES_Rec,nrES_PID,$B38,nrES_Code,R$5,nrES_Final,"Yes"),""))</f>
        <v/>
      </c>
      <c r="S38" s="17">
        <f>IF(OR($B38="",S$5=""),"",IFERROR(SUMIFS(nrES_Rec,nrES_PID,$B38,nrES_Code,S$5,nrES_Final,"Yes"),""))</f>
        <v/>
      </c>
      <c r="T38" s="17">
        <f>IF(OR($B38="",T$5=""),"",IFERROR(SUMIFS(nrES_Rec,nrES_PID,$B38,nrES_Code,T$5,nrES_Final,"Yes"),""))</f>
        <v/>
      </c>
      <c r="U38" s="17">
        <f>IF(OR($B38="",U$5=""),"",IFERROR(SUMIFS(nrES_Rec,nrES_PID,$B38,nrES_Code,U$5,nrES_Final,"Yes"),""))</f>
        <v/>
      </c>
      <c r="V38" s="17">
        <f>IF(OR($B38="",V$5=""),"",IFERROR(SUMIFS(nrES_Rec,nrES_PID,$B38,nrES_Code,V$5,nrES_Final,"Yes"),""))</f>
        <v/>
      </c>
      <c r="W38" s="17">
        <f>IF(OR($B38="",W$5=""),"",IFERROR(SUMIFS(nrES_Rec,nrES_PID,$B38,nrES_Code,W$5,nrES_Final,"Yes"),""))</f>
        <v/>
      </c>
      <c r="X38" s="17">
        <f>IF(OR($B38="",X$5=""),"",IFERROR(SUMIFS(nrES_Rec,nrES_PID,$B38,nrES_Code,X$5,nrES_Final,"Yes"),""))</f>
        <v/>
      </c>
      <c r="Y38" s="17">
        <f>IF(OR($B38="",Y$5=""),"",IFERROR(SUMIFS(nrES_Rec,nrES_PID,$B38,nrES_Code,Y$5,nrES_Final,"Yes"),""))</f>
        <v/>
      </c>
      <c r="Z38" s="17">
        <f>IF(OR($B38="",Z$5=""),"",IFERROR(SUMIFS(nrES_Rec,nrES_PID,$B38,nrES_Code,Z$5,nrES_Final,"Yes"),""))</f>
        <v/>
      </c>
      <c r="AA38" s="17">
        <f>IF(OR($B38="",AA$5=""),"",IFERROR(SUMIFS(nrES_Rec,nrES_PID,$B38,nrES_Code,AA$5,nrES_Final,"Yes"),""))</f>
        <v/>
      </c>
      <c r="AB38" s="17">
        <f>IF(OR($B38="",AB$5=""),"",IFERROR(SUMIFS(nrES_Rec,nrES_PID,$B38,nrES_Code,AB$5,nrES_Final,"Yes"),""))</f>
        <v/>
      </c>
      <c r="AC38" s="17">
        <f>IF($B38="","",sysGrades!$M38)</f>
        <v/>
      </c>
      <c r="AD38" s="17">
        <f>IF($B38="","",IFERROR(sysGrades!$U38,""))</f>
        <v/>
      </c>
    </row>
    <row r="39">
      <c r="B39" s="17">
        <f>IF(Cadets!$B39="","",Cadets!$B39)</f>
        <v/>
      </c>
      <c r="C39" s="17">
        <f>IF($B39="","",Cadets!$F39)</f>
        <v/>
      </c>
      <c r="D39" s="17">
        <f>IF(OR($B39="",D$5=""),"",IFERROR(SUMIFS(nrES_Rec,nrES_PID,$B39,nrES_Code,D$5,nrES_Final,"Yes"),""))</f>
        <v/>
      </c>
      <c r="E39" s="17">
        <f>IF(OR($B39="",E$5=""),"",IFERROR(SUMIFS(nrES_Rec,nrES_PID,$B39,nrES_Code,E$5,nrES_Final,"Yes"),""))</f>
        <v/>
      </c>
      <c r="F39" s="17">
        <f>IF(OR($B39="",F$5=""),"",IFERROR(SUMIFS(nrES_Rec,nrES_PID,$B39,nrES_Code,F$5,nrES_Final,"Yes"),""))</f>
        <v/>
      </c>
      <c r="G39" s="17">
        <f>IF(OR($B39="",G$5=""),"",IFERROR(SUMIFS(nrES_Rec,nrES_PID,$B39,nrES_Code,G$5,nrES_Final,"Yes"),""))</f>
        <v/>
      </c>
      <c r="H39" s="17">
        <f>IF(OR($B39="",H$5=""),"",IFERROR(SUMIFS(nrES_Rec,nrES_PID,$B39,nrES_Code,H$5,nrES_Final,"Yes"),""))</f>
        <v/>
      </c>
      <c r="I39" s="17">
        <f>IF(OR($B39="",I$5=""),"",IFERROR(SUMIFS(nrES_Rec,nrES_PID,$B39,nrES_Code,I$5,nrES_Final,"Yes"),""))</f>
        <v/>
      </c>
      <c r="J39" s="17">
        <f>IF(OR($B39="",J$5=""),"",IFERROR(SUMIFS(nrES_Rec,nrES_PID,$B39,nrES_Code,J$5,nrES_Final,"Yes"),""))</f>
        <v/>
      </c>
      <c r="K39" s="17">
        <f>IF(OR($B39="",K$5=""),"",IFERROR(SUMIFS(nrES_Rec,nrES_PID,$B39,nrES_Code,K$5,nrES_Final,"Yes"),""))</f>
        <v/>
      </c>
      <c r="L39" s="17">
        <f>IF(OR($B39="",L$5=""),"",IFERROR(SUMIFS(nrES_Rec,nrES_PID,$B39,nrES_Code,L$5,nrES_Final,"Yes"),""))</f>
        <v/>
      </c>
      <c r="M39" s="17">
        <f>IF(OR($B39="",M$5=""),"",IFERROR(SUMIFS(nrES_Rec,nrES_PID,$B39,nrES_Code,M$5,nrES_Final,"Yes"),""))</f>
        <v/>
      </c>
      <c r="N39" s="17">
        <f>IF(OR($B39="",N$5=""),"",IFERROR(SUMIFS(nrES_Rec,nrES_PID,$B39,nrES_Code,N$5,nrES_Final,"Yes"),""))</f>
        <v/>
      </c>
      <c r="O39" s="17">
        <f>IF(OR($B39="",O$5=""),"",IFERROR(SUMIFS(nrES_Rec,nrES_PID,$B39,nrES_Code,O$5,nrES_Final,"Yes"),""))</f>
        <v/>
      </c>
      <c r="P39" s="17">
        <f>IF(OR($B39="",P$5=""),"",IFERROR(SUMIFS(nrES_Rec,nrES_PID,$B39,nrES_Code,P$5,nrES_Final,"Yes"),""))</f>
        <v/>
      </c>
      <c r="Q39" s="17">
        <f>IF(OR($B39="",Q$5=""),"",IFERROR(SUMIFS(nrES_Rec,nrES_PID,$B39,nrES_Code,Q$5,nrES_Final,"Yes"),""))</f>
        <v/>
      </c>
      <c r="R39" s="17">
        <f>IF(OR($B39="",R$5=""),"",IFERROR(SUMIFS(nrES_Rec,nrES_PID,$B39,nrES_Code,R$5,nrES_Final,"Yes"),""))</f>
        <v/>
      </c>
      <c r="S39" s="17">
        <f>IF(OR($B39="",S$5=""),"",IFERROR(SUMIFS(nrES_Rec,nrES_PID,$B39,nrES_Code,S$5,nrES_Final,"Yes"),""))</f>
        <v/>
      </c>
      <c r="T39" s="17">
        <f>IF(OR($B39="",T$5=""),"",IFERROR(SUMIFS(nrES_Rec,nrES_PID,$B39,nrES_Code,T$5,nrES_Final,"Yes"),""))</f>
        <v/>
      </c>
      <c r="U39" s="17">
        <f>IF(OR($B39="",U$5=""),"",IFERROR(SUMIFS(nrES_Rec,nrES_PID,$B39,nrES_Code,U$5,nrES_Final,"Yes"),""))</f>
        <v/>
      </c>
      <c r="V39" s="17">
        <f>IF(OR($B39="",V$5=""),"",IFERROR(SUMIFS(nrES_Rec,nrES_PID,$B39,nrES_Code,V$5,nrES_Final,"Yes"),""))</f>
        <v/>
      </c>
      <c r="W39" s="17">
        <f>IF(OR($B39="",W$5=""),"",IFERROR(SUMIFS(nrES_Rec,nrES_PID,$B39,nrES_Code,W$5,nrES_Final,"Yes"),""))</f>
        <v/>
      </c>
      <c r="X39" s="17">
        <f>IF(OR($B39="",X$5=""),"",IFERROR(SUMIFS(nrES_Rec,nrES_PID,$B39,nrES_Code,X$5,nrES_Final,"Yes"),""))</f>
        <v/>
      </c>
      <c r="Y39" s="17">
        <f>IF(OR($B39="",Y$5=""),"",IFERROR(SUMIFS(nrES_Rec,nrES_PID,$B39,nrES_Code,Y$5,nrES_Final,"Yes"),""))</f>
        <v/>
      </c>
      <c r="Z39" s="17">
        <f>IF(OR($B39="",Z$5=""),"",IFERROR(SUMIFS(nrES_Rec,nrES_PID,$B39,nrES_Code,Z$5,nrES_Final,"Yes"),""))</f>
        <v/>
      </c>
      <c r="AA39" s="17">
        <f>IF(OR($B39="",AA$5=""),"",IFERROR(SUMIFS(nrES_Rec,nrES_PID,$B39,nrES_Code,AA$5,nrES_Final,"Yes"),""))</f>
        <v/>
      </c>
      <c r="AB39" s="17">
        <f>IF(OR($B39="",AB$5=""),"",IFERROR(SUMIFS(nrES_Rec,nrES_PID,$B39,nrES_Code,AB$5,nrES_Final,"Yes"),""))</f>
        <v/>
      </c>
      <c r="AC39" s="17">
        <f>IF($B39="","",sysGrades!$M39)</f>
        <v/>
      </c>
      <c r="AD39" s="17">
        <f>IF($B39="","",IFERROR(sysGrades!$U39,""))</f>
        <v/>
      </c>
    </row>
    <row r="40">
      <c r="B40" s="17">
        <f>IF(Cadets!$B40="","",Cadets!$B40)</f>
        <v/>
      </c>
      <c r="C40" s="17">
        <f>IF($B40="","",Cadets!$F40)</f>
        <v/>
      </c>
      <c r="D40" s="17">
        <f>IF(OR($B40="",D$5=""),"",IFERROR(SUMIFS(nrES_Rec,nrES_PID,$B40,nrES_Code,D$5,nrES_Final,"Yes"),""))</f>
        <v/>
      </c>
      <c r="E40" s="17">
        <f>IF(OR($B40="",E$5=""),"",IFERROR(SUMIFS(nrES_Rec,nrES_PID,$B40,nrES_Code,E$5,nrES_Final,"Yes"),""))</f>
        <v/>
      </c>
      <c r="F40" s="17">
        <f>IF(OR($B40="",F$5=""),"",IFERROR(SUMIFS(nrES_Rec,nrES_PID,$B40,nrES_Code,F$5,nrES_Final,"Yes"),""))</f>
        <v/>
      </c>
      <c r="G40" s="17">
        <f>IF(OR($B40="",G$5=""),"",IFERROR(SUMIFS(nrES_Rec,nrES_PID,$B40,nrES_Code,G$5,nrES_Final,"Yes"),""))</f>
        <v/>
      </c>
      <c r="H40" s="17">
        <f>IF(OR($B40="",H$5=""),"",IFERROR(SUMIFS(nrES_Rec,nrES_PID,$B40,nrES_Code,H$5,nrES_Final,"Yes"),""))</f>
        <v/>
      </c>
      <c r="I40" s="17">
        <f>IF(OR($B40="",I$5=""),"",IFERROR(SUMIFS(nrES_Rec,nrES_PID,$B40,nrES_Code,I$5,nrES_Final,"Yes"),""))</f>
        <v/>
      </c>
      <c r="J40" s="17">
        <f>IF(OR($B40="",J$5=""),"",IFERROR(SUMIFS(nrES_Rec,nrES_PID,$B40,nrES_Code,J$5,nrES_Final,"Yes"),""))</f>
        <v/>
      </c>
      <c r="K40" s="17">
        <f>IF(OR($B40="",K$5=""),"",IFERROR(SUMIFS(nrES_Rec,nrES_PID,$B40,nrES_Code,K$5,nrES_Final,"Yes"),""))</f>
        <v/>
      </c>
      <c r="L40" s="17">
        <f>IF(OR($B40="",L$5=""),"",IFERROR(SUMIFS(nrES_Rec,nrES_PID,$B40,nrES_Code,L$5,nrES_Final,"Yes"),""))</f>
        <v/>
      </c>
      <c r="M40" s="17">
        <f>IF(OR($B40="",M$5=""),"",IFERROR(SUMIFS(nrES_Rec,nrES_PID,$B40,nrES_Code,M$5,nrES_Final,"Yes"),""))</f>
        <v/>
      </c>
      <c r="N40" s="17">
        <f>IF(OR($B40="",N$5=""),"",IFERROR(SUMIFS(nrES_Rec,nrES_PID,$B40,nrES_Code,N$5,nrES_Final,"Yes"),""))</f>
        <v/>
      </c>
      <c r="O40" s="17">
        <f>IF(OR($B40="",O$5=""),"",IFERROR(SUMIFS(nrES_Rec,nrES_PID,$B40,nrES_Code,O$5,nrES_Final,"Yes"),""))</f>
        <v/>
      </c>
      <c r="P40" s="17">
        <f>IF(OR($B40="",P$5=""),"",IFERROR(SUMIFS(nrES_Rec,nrES_PID,$B40,nrES_Code,P$5,nrES_Final,"Yes"),""))</f>
        <v/>
      </c>
      <c r="Q40" s="17">
        <f>IF(OR($B40="",Q$5=""),"",IFERROR(SUMIFS(nrES_Rec,nrES_PID,$B40,nrES_Code,Q$5,nrES_Final,"Yes"),""))</f>
        <v/>
      </c>
      <c r="R40" s="17">
        <f>IF(OR($B40="",R$5=""),"",IFERROR(SUMIFS(nrES_Rec,nrES_PID,$B40,nrES_Code,R$5,nrES_Final,"Yes"),""))</f>
        <v/>
      </c>
      <c r="S40" s="17">
        <f>IF(OR($B40="",S$5=""),"",IFERROR(SUMIFS(nrES_Rec,nrES_PID,$B40,nrES_Code,S$5,nrES_Final,"Yes"),""))</f>
        <v/>
      </c>
      <c r="T40" s="17">
        <f>IF(OR($B40="",T$5=""),"",IFERROR(SUMIFS(nrES_Rec,nrES_PID,$B40,nrES_Code,T$5,nrES_Final,"Yes"),""))</f>
        <v/>
      </c>
      <c r="U40" s="17">
        <f>IF(OR($B40="",U$5=""),"",IFERROR(SUMIFS(nrES_Rec,nrES_PID,$B40,nrES_Code,U$5,nrES_Final,"Yes"),""))</f>
        <v/>
      </c>
      <c r="V40" s="17">
        <f>IF(OR($B40="",V$5=""),"",IFERROR(SUMIFS(nrES_Rec,nrES_PID,$B40,nrES_Code,V$5,nrES_Final,"Yes"),""))</f>
        <v/>
      </c>
      <c r="W40" s="17">
        <f>IF(OR($B40="",W$5=""),"",IFERROR(SUMIFS(nrES_Rec,nrES_PID,$B40,nrES_Code,W$5,nrES_Final,"Yes"),""))</f>
        <v/>
      </c>
      <c r="X40" s="17">
        <f>IF(OR($B40="",X$5=""),"",IFERROR(SUMIFS(nrES_Rec,nrES_PID,$B40,nrES_Code,X$5,nrES_Final,"Yes"),""))</f>
        <v/>
      </c>
      <c r="Y40" s="17">
        <f>IF(OR($B40="",Y$5=""),"",IFERROR(SUMIFS(nrES_Rec,nrES_PID,$B40,nrES_Code,Y$5,nrES_Final,"Yes"),""))</f>
        <v/>
      </c>
      <c r="Z40" s="17">
        <f>IF(OR($B40="",Z$5=""),"",IFERROR(SUMIFS(nrES_Rec,nrES_PID,$B40,nrES_Code,Z$5,nrES_Final,"Yes"),""))</f>
        <v/>
      </c>
      <c r="AA40" s="17">
        <f>IF(OR($B40="",AA$5=""),"",IFERROR(SUMIFS(nrES_Rec,nrES_PID,$B40,nrES_Code,AA$5,nrES_Final,"Yes"),""))</f>
        <v/>
      </c>
      <c r="AB40" s="17">
        <f>IF(OR($B40="",AB$5=""),"",IFERROR(SUMIFS(nrES_Rec,nrES_PID,$B40,nrES_Code,AB$5,nrES_Final,"Yes"),""))</f>
        <v/>
      </c>
      <c r="AC40" s="17">
        <f>IF($B40="","",sysGrades!$M40)</f>
        <v/>
      </c>
      <c r="AD40" s="17">
        <f>IF($B40="","",IFERROR(sysGrades!$U40,""))</f>
        <v/>
      </c>
    </row>
    <row r="41">
      <c r="B41" s="17">
        <f>IF(Cadets!$B41="","",Cadets!$B41)</f>
        <v/>
      </c>
      <c r="C41" s="17">
        <f>IF($B41="","",Cadets!$F41)</f>
        <v/>
      </c>
      <c r="D41" s="17">
        <f>IF(OR($B41="",D$5=""),"",IFERROR(SUMIFS(nrES_Rec,nrES_PID,$B41,nrES_Code,D$5,nrES_Final,"Yes"),""))</f>
        <v/>
      </c>
      <c r="E41" s="17">
        <f>IF(OR($B41="",E$5=""),"",IFERROR(SUMIFS(nrES_Rec,nrES_PID,$B41,nrES_Code,E$5,nrES_Final,"Yes"),""))</f>
        <v/>
      </c>
      <c r="F41" s="17">
        <f>IF(OR($B41="",F$5=""),"",IFERROR(SUMIFS(nrES_Rec,nrES_PID,$B41,nrES_Code,F$5,nrES_Final,"Yes"),""))</f>
        <v/>
      </c>
      <c r="G41" s="17">
        <f>IF(OR($B41="",G$5=""),"",IFERROR(SUMIFS(nrES_Rec,nrES_PID,$B41,nrES_Code,G$5,nrES_Final,"Yes"),""))</f>
        <v/>
      </c>
      <c r="H41" s="17">
        <f>IF(OR($B41="",H$5=""),"",IFERROR(SUMIFS(nrES_Rec,nrES_PID,$B41,nrES_Code,H$5,nrES_Final,"Yes"),""))</f>
        <v/>
      </c>
      <c r="I41" s="17">
        <f>IF(OR($B41="",I$5=""),"",IFERROR(SUMIFS(nrES_Rec,nrES_PID,$B41,nrES_Code,I$5,nrES_Final,"Yes"),""))</f>
        <v/>
      </c>
      <c r="J41" s="17">
        <f>IF(OR($B41="",J$5=""),"",IFERROR(SUMIFS(nrES_Rec,nrES_PID,$B41,nrES_Code,J$5,nrES_Final,"Yes"),""))</f>
        <v/>
      </c>
      <c r="K41" s="17">
        <f>IF(OR($B41="",K$5=""),"",IFERROR(SUMIFS(nrES_Rec,nrES_PID,$B41,nrES_Code,K$5,nrES_Final,"Yes"),""))</f>
        <v/>
      </c>
      <c r="L41" s="17">
        <f>IF(OR($B41="",L$5=""),"",IFERROR(SUMIFS(nrES_Rec,nrES_PID,$B41,nrES_Code,L$5,nrES_Final,"Yes"),""))</f>
        <v/>
      </c>
      <c r="M41" s="17">
        <f>IF(OR($B41="",M$5=""),"",IFERROR(SUMIFS(nrES_Rec,nrES_PID,$B41,nrES_Code,M$5,nrES_Final,"Yes"),""))</f>
        <v/>
      </c>
      <c r="N41" s="17">
        <f>IF(OR($B41="",N$5=""),"",IFERROR(SUMIFS(nrES_Rec,nrES_PID,$B41,nrES_Code,N$5,nrES_Final,"Yes"),""))</f>
        <v/>
      </c>
      <c r="O41" s="17">
        <f>IF(OR($B41="",O$5=""),"",IFERROR(SUMIFS(nrES_Rec,nrES_PID,$B41,nrES_Code,O$5,nrES_Final,"Yes"),""))</f>
        <v/>
      </c>
      <c r="P41" s="17">
        <f>IF(OR($B41="",P$5=""),"",IFERROR(SUMIFS(nrES_Rec,nrES_PID,$B41,nrES_Code,P$5,nrES_Final,"Yes"),""))</f>
        <v/>
      </c>
      <c r="Q41" s="17">
        <f>IF(OR($B41="",Q$5=""),"",IFERROR(SUMIFS(nrES_Rec,nrES_PID,$B41,nrES_Code,Q$5,nrES_Final,"Yes"),""))</f>
        <v/>
      </c>
      <c r="R41" s="17">
        <f>IF(OR($B41="",R$5=""),"",IFERROR(SUMIFS(nrES_Rec,nrES_PID,$B41,nrES_Code,R$5,nrES_Final,"Yes"),""))</f>
        <v/>
      </c>
      <c r="S41" s="17">
        <f>IF(OR($B41="",S$5=""),"",IFERROR(SUMIFS(nrES_Rec,nrES_PID,$B41,nrES_Code,S$5,nrES_Final,"Yes"),""))</f>
        <v/>
      </c>
      <c r="T41" s="17">
        <f>IF(OR($B41="",T$5=""),"",IFERROR(SUMIFS(nrES_Rec,nrES_PID,$B41,nrES_Code,T$5,nrES_Final,"Yes"),""))</f>
        <v/>
      </c>
      <c r="U41" s="17">
        <f>IF(OR($B41="",U$5=""),"",IFERROR(SUMIFS(nrES_Rec,nrES_PID,$B41,nrES_Code,U$5,nrES_Final,"Yes"),""))</f>
        <v/>
      </c>
      <c r="V41" s="17">
        <f>IF(OR($B41="",V$5=""),"",IFERROR(SUMIFS(nrES_Rec,nrES_PID,$B41,nrES_Code,V$5,nrES_Final,"Yes"),""))</f>
        <v/>
      </c>
      <c r="W41" s="17">
        <f>IF(OR($B41="",W$5=""),"",IFERROR(SUMIFS(nrES_Rec,nrES_PID,$B41,nrES_Code,W$5,nrES_Final,"Yes"),""))</f>
        <v/>
      </c>
      <c r="X41" s="17">
        <f>IF(OR($B41="",X$5=""),"",IFERROR(SUMIFS(nrES_Rec,nrES_PID,$B41,nrES_Code,X$5,nrES_Final,"Yes"),""))</f>
        <v/>
      </c>
      <c r="Y41" s="17">
        <f>IF(OR($B41="",Y$5=""),"",IFERROR(SUMIFS(nrES_Rec,nrES_PID,$B41,nrES_Code,Y$5,nrES_Final,"Yes"),""))</f>
        <v/>
      </c>
      <c r="Z41" s="17">
        <f>IF(OR($B41="",Z$5=""),"",IFERROR(SUMIFS(nrES_Rec,nrES_PID,$B41,nrES_Code,Z$5,nrES_Final,"Yes"),""))</f>
        <v/>
      </c>
      <c r="AA41" s="17">
        <f>IF(OR($B41="",AA$5=""),"",IFERROR(SUMIFS(nrES_Rec,nrES_PID,$B41,nrES_Code,AA$5,nrES_Final,"Yes"),""))</f>
        <v/>
      </c>
      <c r="AB41" s="17">
        <f>IF(OR($B41="",AB$5=""),"",IFERROR(SUMIFS(nrES_Rec,nrES_PID,$B41,nrES_Code,AB$5,nrES_Final,"Yes"),""))</f>
        <v/>
      </c>
      <c r="AC41" s="17">
        <f>IF($B41="","",sysGrades!$M41)</f>
        <v/>
      </c>
      <c r="AD41" s="17">
        <f>IF($B41="","",IFERROR(sysGrades!$U41,""))</f>
        <v/>
      </c>
    </row>
    <row r="42">
      <c r="B42" s="17">
        <f>IF(Cadets!$B42="","",Cadets!$B42)</f>
        <v/>
      </c>
      <c r="C42" s="17">
        <f>IF($B42="","",Cadets!$F42)</f>
        <v/>
      </c>
      <c r="D42" s="17">
        <f>IF(OR($B42="",D$5=""),"",IFERROR(SUMIFS(nrES_Rec,nrES_PID,$B42,nrES_Code,D$5,nrES_Final,"Yes"),""))</f>
        <v/>
      </c>
      <c r="E42" s="17">
        <f>IF(OR($B42="",E$5=""),"",IFERROR(SUMIFS(nrES_Rec,nrES_PID,$B42,nrES_Code,E$5,nrES_Final,"Yes"),""))</f>
        <v/>
      </c>
      <c r="F42" s="17">
        <f>IF(OR($B42="",F$5=""),"",IFERROR(SUMIFS(nrES_Rec,nrES_PID,$B42,nrES_Code,F$5,nrES_Final,"Yes"),""))</f>
        <v/>
      </c>
      <c r="G42" s="17">
        <f>IF(OR($B42="",G$5=""),"",IFERROR(SUMIFS(nrES_Rec,nrES_PID,$B42,nrES_Code,G$5,nrES_Final,"Yes"),""))</f>
        <v/>
      </c>
      <c r="H42" s="17">
        <f>IF(OR($B42="",H$5=""),"",IFERROR(SUMIFS(nrES_Rec,nrES_PID,$B42,nrES_Code,H$5,nrES_Final,"Yes"),""))</f>
        <v/>
      </c>
      <c r="I42" s="17">
        <f>IF(OR($B42="",I$5=""),"",IFERROR(SUMIFS(nrES_Rec,nrES_PID,$B42,nrES_Code,I$5,nrES_Final,"Yes"),""))</f>
        <v/>
      </c>
      <c r="J42" s="17">
        <f>IF(OR($B42="",J$5=""),"",IFERROR(SUMIFS(nrES_Rec,nrES_PID,$B42,nrES_Code,J$5,nrES_Final,"Yes"),""))</f>
        <v/>
      </c>
      <c r="K42" s="17">
        <f>IF(OR($B42="",K$5=""),"",IFERROR(SUMIFS(nrES_Rec,nrES_PID,$B42,nrES_Code,K$5,nrES_Final,"Yes"),""))</f>
        <v/>
      </c>
      <c r="L42" s="17">
        <f>IF(OR($B42="",L$5=""),"",IFERROR(SUMIFS(nrES_Rec,nrES_PID,$B42,nrES_Code,L$5,nrES_Final,"Yes"),""))</f>
        <v/>
      </c>
      <c r="M42" s="17">
        <f>IF(OR($B42="",M$5=""),"",IFERROR(SUMIFS(nrES_Rec,nrES_PID,$B42,nrES_Code,M$5,nrES_Final,"Yes"),""))</f>
        <v/>
      </c>
      <c r="N42" s="17">
        <f>IF(OR($B42="",N$5=""),"",IFERROR(SUMIFS(nrES_Rec,nrES_PID,$B42,nrES_Code,N$5,nrES_Final,"Yes"),""))</f>
        <v/>
      </c>
      <c r="O42" s="17">
        <f>IF(OR($B42="",O$5=""),"",IFERROR(SUMIFS(nrES_Rec,nrES_PID,$B42,nrES_Code,O$5,nrES_Final,"Yes"),""))</f>
        <v/>
      </c>
      <c r="P42" s="17">
        <f>IF(OR($B42="",P$5=""),"",IFERROR(SUMIFS(nrES_Rec,nrES_PID,$B42,nrES_Code,P$5,nrES_Final,"Yes"),""))</f>
        <v/>
      </c>
      <c r="Q42" s="17">
        <f>IF(OR($B42="",Q$5=""),"",IFERROR(SUMIFS(nrES_Rec,nrES_PID,$B42,nrES_Code,Q$5,nrES_Final,"Yes"),""))</f>
        <v/>
      </c>
      <c r="R42" s="17">
        <f>IF(OR($B42="",R$5=""),"",IFERROR(SUMIFS(nrES_Rec,nrES_PID,$B42,nrES_Code,R$5,nrES_Final,"Yes"),""))</f>
        <v/>
      </c>
      <c r="S42" s="17">
        <f>IF(OR($B42="",S$5=""),"",IFERROR(SUMIFS(nrES_Rec,nrES_PID,$B42,nrES_Code,S$5,nrES_Final,"Yes"),""))</f>
        <v/>
      </c>
      <c r="T42" s="17">
        <f>IF(OR($B42="",T$5=""),"",IFERROR(SUMIFS(nrES_Rec,nrES_PID,$B42,nrES_Code,T$5,nrES_Final,"Yes"),""))</f>
        <v/>
      </c>
      <c r="U42" s="17">
        <f>IF(OR($B42="",U$5=""),"",IFERROR(SUMIFS(nrES_Rec,nrES_PID,$B42,nrES_Code,U$5,nrES_Final,"Yes"),""))</f>
        <v/>
      </c>
      <c r="V42" s="17">
        <f>IF(OR($B42="",V$5=""),"",IFERROR(SUMIFS(nrES_Rec,nrES_PID,$B42,nrES_Code,V$5,nrES_Final,"Yes"),""))</f>
        <v/>
      </c>
      <c r="W42" s="17">
        <f>IF(OR($B42="",W$5=""),"",IFERROR(SUMIFS(nrES_Rec,nrES_PID,$B42,nrES_Code,W$5,nrES_Final,"Yes"),""))</f>
        <v/>
      </c>
      <c r="X42" s="17">
        <f>IF(OR($B42="",X$5=""),"",IFERROR(SUMIFS(nrES_Rec,nrES_PID,$B42,nrES_Code,X$5,nrES_Final,"Yes"),""))</f>
        <v/>
      </c>
      <c r="Y42" s="17">
        <f>IF(OR($B42="",Y$5=""),"",IFERROR(SUMIFS(nrES_Rec,nrES_PID,$B42,nrES_Code,Y$5,nrES_Final,"Yes"),""))</f>
        <v/>
      </c>
      <c r="Z42" s="17">
        <f>IF(OR($B42="",Z$5=""),"",IFERROR(SUMIFS(nrES_Rec,nrES_PID,$B42,nrES_Code,Z$5,nrES_Final,"Yes"),""))</f>
        <v/>
      </c>
      <c r="AA42" s="17">
        <f>IF(OR($B42="",AA$5=""),"",IFERROR(SUMIFS(nrES_Rec,nrES_PID,$B42,nrES_Code,AA$5,nrES_Final,"Yes"),""))</f>
        <v/>
      </c>
      <c r="AB42" s="17">
        <f>IF(OR($B42="",AB$5=""),"",IFERROR(SUMIFS(nrES_Rec,nrES_PID,$B42,nrES_Code,AB$5,nrES_Final,"Yes"),""))</f>
        <v/>
      </c>
      <c r="AC42" s="17">
        <f>IF($B42="","",sysGrades!$M42)</f>
        <v/>
      </c>
      <c r="AD42" s="17">
        <f>IF($B42="","",IFERROR(sysGrades!$U42,""))</f>
        <v/>
      </c>
    </row>
    <row r="43">
      <c r="B43" s="17">
        <f>IF(Cadets!$B43="","",Cadets!$B43)</f>
        <v/>
      </c>
      <c r="C43" s="17">
        <f>IF($B43="","",Cadets!$F43)</f>
        <v/>
      </c>
      <c r="D43" s="17">
        <f>IF(OR($B43="",D$5=""),"",IFERROR(SUMIFS(nrES_Rec,nrES_PID,$B43,nrES_Code,D$5,nrES_Final,"Yes"),""))</f>
        <v/>
      </c>
      <c r="E43" s="17">
        <f>IF(OR($B43="",E$5=""),"",IFERROR(SUMIFS(nrES_Rec,nrES_PID,$B43,nrES_Code,E$5,nrES_Final,"Yes"),""))</f>
        <v/>
      </c>
      <c r="F43" s="17">
        <f>IF(OR($B43="",F$5=""),"",IFERROR(SUMIFS(nrES_Rec,nrES_PID,$B43,nrES_Code,F$5,nrES_Final,"Yes"),""))</f>
        <v/>
      </c>
      <c r="G43" s="17">
        <f>IF(OR($B43="",G$5=""),"",IFERROR(SUMIFS(nrES_Rec,nrES_PID,$B43,nrES_Code,G$5,nrES_Final,"Yes"),""))</f>
        <v/>
      </c>
      <c r="H43" s="17">
        <f>IF(OR($B43="",H$5=""),"",IFERROR(SUMIFS(nrES_Rec,nrES_PID,$B43,nrES_Code,H$5,nrES_Final,"Yes"),""))</f>
        <v/>
      </c>
      <c r="I43" s="17">
        <f>IF(OR($B43="",I$5=""),"",IFERROR(SUMIFS(nrES_Rec,nrES_PID,$B43,nrES_Code,I$5,nrES_Final,"Yes"),""))</f>
        <v/>
      </c>
      <c r="J43" s="17">
        <f>IF(OR($B43="",J$5=""),"",IFERROR(SUMIFS(nrES_Rec,nrES_PID,$B43,nrES_Code,J$5,nrES_Final,"Yes"),""))</f>
        <v/>
      </c>
      <c r="K43" s="17">
        <f>IF(OR($B43="",K$5=""),"",IFERROR(SUMIFS(nrES_Rec,nrES_PID,$B43,nrES_Code,K$5,nrES_Final,"Yes"),""))</f>
        <v/>
      </c>
      <c r="L43" s="17">
        <f>IF(OR($B43="",L$5=""),"",IFERROR(SUMIFS(nrES_Rec,nrES_PID,$B43,nrES_Code,L$5,nrES_Final,"Yes"),""))</f>
        <v/>
      </c>
      <c r="M43" s="17">
        <f>IF(OR($B43="",M$5=""),"",IFERROR(SUMIFS(nrES_Rec,nrES_PID,$B43,nrES_Code,M$5,nrES_Final,"Yes"),""))</f>
        <v/>
      </c>
      <c r="N43" s="17">
        <f>IF(OR($B43="",N$5=""),"",IFERROR(SUMIFS(nrES_Rec,nrES_PID,$B43,nrES_Code,N$5,nrES_Final,"Yes"),""))</f>
        <v/>
      </c>
      <c r="O43" s="17">
        <f>IF(OR($B43="",O$5=""),"",IFERROR(SUMIFS(nrES_Rec,nrES_PID,$B43,nrES_Code,O$5,nrES_Final,"Yes"),""))</f>
        <v/>
      </c>
      <c r="P43" s="17">
        <f>IF(OR($B43="",P$5=""),"",IFERROR(SUMIFS(nrES_Rec,nrES_PID,$B43,nrES_Code,P$5,nrES_Final,"Yes"),""))</f>
        <v/>
      </c>
      <c r="Q43" s="17">
        <f>IF(OR($B43="",Q$5=""),"",IFERROR(SUMIFS(nrES_Rec,nrES_PID,$B43,nrES_Code,Q$5,nrES_Final,"Yes"),""))</f>
        <v/>
      </c>
      <c r="R43" s="17">
        <f>IF(OR($B43="",R$5=""),"",IFERROR(SUMIFS(nrES_Rec,nrES_PID,$B43,nrES_Code,R$5,nrES_Final,"Yes"),""))</f>
        <v/>
      </c>
      <c r="S43" s="17">
        <f>IF(OR($B43="",S$5=""),"",IFERROR(SUMIFS(nrES_Rec,nrES_PID,$B43,nrES_Code,S$5,nrES_Final,"Yes"),""))</f>
        <v/>
      </c>
      <c r="T43" s="17">
        <f>IF(OR($B43="",T$5=""),"",IFERROR(SUMIFS(nrES_Rec,nrES_PID,$B43,nrES_Code,T$5,nrES_Final,"Yes"),""))</f>
        <v/>
      </c>
      <c r="U43" s="17">
        <f>IF(OR($B43="",U$5=""),"",IFERROR(SUMIFS(nrES_Rec,nrES_PID,$B43,nrES_Code,U$5,nrES_Final,"Yes"),""))</f>
        <v/>
      </c>
      <c r="V43" s="17">
        <f>IF(OR($B43="",V$5=""),"",IFERROR(SUMIFS(nrES_Rec,nrES_PID,$B43,nrES_Code,V$5,nrES_Final,"Yes"),""))</f>
        <v/>
      </c>
      <c r="W43" s="17">
        <f>IF(OR($B43="",W$5=""),"",IFERROR(SUMIFS(nrES_Rec,nrES_PID,$B43,nrES_Code,W$5,nrES_Final,"Yes"),""))</f>
        <v/>
      </c>
      <c r="X43" s="17">
        <f>IF(OR($B43="",X$5=""),"",IFERROR(SUMIFS(nrES_Rec,nrES_PID,$B43,nrES_Code,X$5,nrES_Final,"Yes"),""))</f>
        <v/>
      </c>
      <c r="Y43" s="17">
        <f>IF(OR($B43="",Y$5=""),"",IFERROR(SUMIFS(nrES_Rec,nrES_PID,$B43,nrES_Code,Y$5,nrES_Final,"Yes"),""))</f>
        <v/>
      </c>
      <c r="Z43" s="17">
        <f>IF(OR($B43="",Z$5=""),"",IFERROR(SUMIFS(nrES_Rec,nrES_PID,$B43,nrES_Code,Z$5,nrES_Final,"Yes"),""))</f>
        <v/>
      </c>
      <c r="AA43" s="17">
        <f>IF(OR($B43="",AA$5=""),"",IFERROR(SUMIFS(nrES_Rec,nrES_PID,$B43,nrES_Code,AA$5,nrES_Final,"Yes"),""))</f>
        <v/>
      </c>
      <c r="AB43" s="17">
        <f>IF(OR($B43="",AB$5=""),"",IFERROR(SUMIFS(nrES_Rec,nrES_PID,$B43,nrES_Code,AB$5,nrES_Final,"Yes"),""))</f>
        <v/>
      </c>
      <c r="AC43" s="17">
        <f>IF($B43="","",sysGrades!$M43)</f>
        <v/>
      </c>
      <c r="AD43" s="17">
        <f>IF($B43="","",IFERROR(sysGrades!$U43,""))</f>
        <v/>
      </c>
    </row>
    <row r="44">
      <c r="B44" s="17">
        <f>IF(Cadets!$B44="","",Cadets!$B44)</f>
        <v/>
      </c>
      <c r="C44" s="17">
        <f>IF($B44="","",Cadets!$F44)</f>
        <v/>
      </c>
      <c r="D44" s="17">
        <f>IF(OR($B44="",D$5=""),"",IFERROR(SUMIFS(nrES_Rec,nrES_PID,$B44,nrES_Code,D$5,nrES_Final,"Yes"),""))</f>
        <v/>
      </c>
      <c r="E44" s="17">
        <f>IF(OR($B44="",E$5=""),"",IFERROR(SUMIFS(nrES_Rec,nrES_PID,$B44,nrES_Code,E$5,nrES_Final,"Yes"),""))</f>
        <v/>
      </c>
      <c r="F44" s="17">
        <f>IF(OR($B44="",F$5=""),"",IFERROR(SUMIFS(nrES_Rec,nrES_PID,$B44,nrES_Code,F$5,nrES_Final,"Yes"),""))</f>
        <v/>
      </c>
      <c r="G44" s="17">
        <f>IF(OR($B44="",G$5=""),"",IFERROR(SUMIFS(nrES_Rec,nrES_PID,$B44,nrES_Code,G$5,nrES_Final,"Yes"),""))</f>
        <v/>
      </c>
      <c r="H44" s="17">
        <f>IF(OR($B44="",H$5=""),"",IFERROR(SUMIFS(nrES_Rec,nrES_PID,$B44,nrES_Code,H$5,nrES_Final,"Yes"),""))</f>
        <v/>
      </c>
      <c r="I44" s="17">
        <f>IF(OR($B44="",I$5=""),"",IFERROR(SUMIFS(nrES_Rec,nrES_PID,$B44,nrES_Code,I$5,nrES_Final,"Yes"),""))</f>
        <v/>
      </c>
      <c r="J44" s="17">
        <f>IF(OR($B44="",J$5=""),"",IFERROR(SUMIFS(nrES_Rec,nrES_PID,$B44,nrES_Code,J$5,nrES_Final,"Yes"),""))</f>
        <v/>
      </c>
      <c r="K44" s="17">
        <f>IF(OR($B44="",K$5=""),"",IFERROR(SUMIFS(nrES_Rec,nrES_PID,$B44,nrES_Code,K$5,nrES_Final,"Yes"),""))</f>
        <v/>
      </c>
      <c r="L44" s="17">
        <f>IF(OR($B44="",L$5=""),"",IFERROR(SUMIFS(nrES_Rec,nrES_PID,$B44,nrES_Code,L$5,nrES_Final,"Yes"),""))</f>
        <v/>
      </c>
      <c r="M44" s="17">
        <f>IF(OR($B44="",M$5=""),"",IFERROR(SUMIFS(nrES_Rec,nrES_PID,$B44,nrES_Code,M$5,nrES_Final,"Yes"),""))</f>
        <v/>
      </c>
      <c r="N44" s="17">
        <f>IF(OR($B44="",N$5=""),"",IFERROR(SUMIFS(nrES_Rec,nrES_PID,$B44,nrES_Code,N$5,nrES_Final,"Yes"),""))</f>
        <v/>
      </c>
      <c r="O44" s="17">
        <f>IF(OR($B44="",O$5=""),"",IFERROR(SUMIFS(nrES_Rec,nrES_PID,$B44,nrES_Code,O$5,nrES_Final,"Yes"),""))</f>
        <v/>
      </c>
      <c r="P44" s="17">
        <f>IF(OR($B44="",P$5=""),"",IFERROR(SUMIFS(nrES_Rec,nrES_PID,$B44,nrES_Code,P$5,nrES_Final,"Yes"),""))</f>
        <v/>
      </c>
      <c r="Q44" s="17">
        <f>IF(OR($B44="",Q$5=""),"",IFERROR(SUMIFS(nrES_Rec,nrES_PID,$B44,nrES_Code,Q$5,nrES_Final,"Yes"),""))</f>
        <v/>
      </c>
      <c r="R44" s="17">
        <f>IF(OR($B44="",R$5=""),"",IFERROR(SUMIFS(nrES_Rec,nrES_PID,$B44,nrES_Code,R$5,nrES_Final,"Yes"),""))</f>
        <v/>
      </c>
      <c r="S44" s="17">
        <f>IF(OR($B44="",S$5=""),"",IFERROR(SUMIFS(nrES_Rec,nrES_PID,$B44,nrES_Code,S$5,nrES_Final,"Yes"),""))</f>
        <v/>
      </c>
      <c r="T44" s="17">
        <f>IF(OR($B44="",T$5=""),"",IFERROR(SUMIFS(nrES_Rec,nrES_PID,$B44,nrES_Code,T$5,nrES_Final,"Yes"),""))</f>
        <v/>
      </c>
      <c r="U44" s="17">
        <f>IF(OR($B44="",U$5=""),"",IFERROR(SUMIFS(nrES_Rec,nrES_PID,$B44,nrES_Code,U$5,nrES_Final,"Yes"),""))</f>
        <v/>
      </c>
      <c r="V44" s="17">
        <f>IF(OR($B44="",V$5=""),"",IFERROR(SUMIFS(nrES_Rec,nrES_PID,$B44,nrES_Code,V$5,nrES_Final,"Yes"),""))</f>
        <v/>
      </c>
      <c r="W44" s="17">
        <f>IF(OR($B44="",W$5=""),"",IFERROR(SUMIFS(nrES_Rec,nrES_PID,$B44,nrES_Code,W$5,nrES_Final,"Yes"),""))</f>
        <v/>
      </c>
      <c r="X44" s="17">
        <f>IF(OR($B44="",X$5=""),"",IFERROR(SUMIFS(nrES_Rec,nrES_PID,$B44,nrES_Code,X$5,nrES_Final,"Yes"),""))</f>
        <v/>
      </c>
      <c r="Y44" s="17">
        <f>IF(OR($B44="",Y$5=""),"",IFERROR(SUMIFS(nrES_Rec,nrES_PID,$B44,nrES_Code,Y$5,nrES_Final,"Yes"),""))</f>
        <v/>
      </c>
      <c r="Z44" s="17">
        <f>IF(OR($B44="",Z$5=""),"",IFERROR(SUMIFS(nrES_Rec,nrES_PID,$B44,nrES_Code,Z$5,nrES_Final,"Yes"),""))</f>
        <v/>
      </c>
      <c r="AA44" s="17">
        <f>IF(OR($B44="",AA$5=""),"",IFERROR(SUMIFS(nrES_Rec,nrES_PID,$B44,nrES_Code,AA$5,nrES_Final,"Yes"),""))</f>
        <v/>
      </c>
      <c r="AB44" s="17">
        <f>IF(OR($B44="",AB$5=""),"",IFERROR(SUMIFS(nrES_Rec,nrES_PID,$B44,nrES_Code,AB$5,nrES_Final,"Yes"),""))</f>
        <v/>
      </c>
      <c r="AC44" s="17">
        <f>IF($B44="","",sysGrades!$M44)</f>
        <v/>
      </c>
      <c r="AD44" s="17">
        <f>IF($B44="","",IFERROR(sysGrades!$U44,""))</f>
        <v/>
      </c>
    </row>
    <row r="45">
      <c r="B45" s="17">
        <f>IF(Cadets!$B45="","",Cadets!$B45)</f>
        <v/>
      </c>
      <c r="C45" s="17">
        <f>IF($B45="","",Cadets!$F45)</f>
        <v/>
      </c>
      <c r="D45" s="17">
        <f>IF(OR($B45="",D$5=""),"",IFERROR(SUMIFS(nrES_Rec,nrES_PID,$B45,nrES_Code,D$5,nrES_Final,"Yes"),""))</f>
        <v/>
      </c>
      <c r="E45" s="17">
        <f>IF(OR($B45="",E$5=""),"",IFERROR(SUMIFS(nrES_Rec,nrES_PID,$B45,nrES_Code,E$5,nrES_Final,"Yes"),""))</f>
        <v/>
      </c>
      <c r="F45" s="17">
        <f>IF(OR($B45="",F$5=""),"",IFERROR(SUMIFS(nrES_Rec,nrES_PID,$B45,nrES_Code,F$5,nrES_Final,"Yes"),""))</f>
        <v/>
      </c>
      <c r="G45" s="17">
        <f>IF(OR($B45="",G$5=""),"",IFERROR(SUMIFS(nrES_Rec,nrES_PID,$B45,nrES_Code,G$5,nrES_Final,"Yes"),""))</f>
        <v/>
      </c>
      <c r="H45" s="17">
        <f>IF(OR($B45="",H$5=""),"",IFERROR(SUMIFS(nrES_Rec,nrES_PID,$B45,nrES_Code,H$5,nrES_Final,"Yes"),""))</f>
        <v/>
      </c>
      <c r="I45" s="17">
        <f>IF(OR($B45="",I$5=""),"",IFERROR(SUMIFS(nrES_Rec,nrES_PID,$B45,nrES_Code,I$5,nrES_Final,"Yes"),""))</f>
        <v/>
      </c>
      <c r="J45" s="17">
        <f>IF(OR($B45="",J$5=""),"",IFERROR(SUMIFS(nrES_Rec,nrES_PID,$B45,nrES_Code,J$5,nrES_Final,"Yes"),""))</f>
        <v/>
      </c>
      <c r="K45" s="17">
        <f>IF(OR($B45="",K$5=""),"",IFERROR(SUMIFS(nrES_Rec,nrES_PID,$B45,nrES_Code,K$5,nrES_Final,"Yes"),""))</f>
        <v/>
      </c>
      <c r="L45" s="17">
        <f>IF(OR($B45="",L$5=""),"",IFERROR(SUMIFS(nrES_Rec,nrES_PID,$B45,nrES_Code,L$5,nrES_Final,"Yes"),""))</f>
        <v/>
      </c>
      <c r="M45" s="17">
        <f>IF(OR($B45="",M$5=""),"",IFERROR(SUMIFS(nrES_Rec,nrES_PID,$B45,nrES_Code,M$5,nrES_Final,"Yes"),""))</f>
        <v/>
      </c>
      <c r="N45" s="17">
        <f>IF(OR($B45="",N$5=""),"",IFERROR(SUMIFS(nrES_Rec,nrES_PID,$B45,nrES_Code,N$5,nrES_Final,"Yes"),""))</f>
        <v/>
      </c>
      <c r="O45" s="17">
        <f>IF(OR($B45="",O$5=""),"",IFERROR(SUMIFS(nrES_Rec,nrES_PID,$B45,nrES_Code,O$5,nrES_Final,"Yes"),""))</f>
        <v/>
      </c>
      <c r="P45" s="17">
        <f>IF(OR($B45="",P$5=""),"",IFERROR(SUMIFS(nrES_Rec,nrES_PID,$B45,nrES_Code,P$5,nrES_Final,"Yes"),""))</f>
        <v/>
      </c>
      <c r="Q45" s="17">
        <f>IF(OR($B45="",Q$5=""),"",IFERROR(SUMIFS(nrES_Rec,nrES_PID,$B45,nrES_Code,Q$5,nrES_Final,"Yes"),""))</f>
        <v/>
      </c>
      <c r="R45" s="17">
        <f>IF(OR($B45="",R$5=""),"",IFERROR(SUMIFS(nrES_Rec,nrES_PID,$B45,nrES_Code,R$5,nrES_Final,"Yes"),""))</f>
        <v/>
      </c>
      <c r="S45" s="17">
        <f>IF(OR($B45="",S$5=""),"",IFERROR(SUMIFS(nrES_Rec,nrES_PID,$B45,nrES_Code,S$5,nrES_Final,"Yes"),""))</f>
        <v/>
      </c>
      <c r="T45" s="17">
        <f>IF(OR($B45="",T$5=""),"",IFERROR(SUMIFS(nrES_Rec,nrES_PID,$B45,nrES_Code,T$5,nrES_Final,"Yes"),""))</f>
        <v/>
      </c>
      <c r="U45" s="17">
        <f>IF(OR($B45="",U$5=""),"",IFERROR(SUMIFS(nrES_Rec,nrES_PID,$B45,nrES_Code,U$5,nrES_Final,"Yes"),""))</f>
        <v/>
      </c>
      <c r="V45" s="17">
        <f>IF(OR($B45="",V$5=""),"",IFERROR(SUMIFS(nrES_Rec,nrES_PID,$B45,nrES_Code,V$5,nrES_Final,"Yes"),""))</f>
        <v/>
      </c>
      <c r="W45" s="17">
        <f>IF(OR($B45="",W$5=""),"",IFERROR(SUMIFS(nrES_Rec,nrES_PID,$B45,nrES_Code,W$5,nrES_Final,"Yes"),""))</f>
        <v/>
      </c>
      <c r="X45" s="17">
        <f>IF(OR($B45="",X$5=""),"",IFERROR(SUMIFS(nrES_Rec,nrES_PID,$B45,nrES_Code,X$5,nrES_Final,"Yes"),""))</f>
        <v/>
      </c>
      <c r="Y45" s="17">
        <f>IF(OR($B45="",Y$5=""),"",IFERROR(SUMIFS(nrES_Rec,nrES_PID,$B45,nrES_Code,Y$5,nrES_Final,"Yes"),""))</f>
        <v/>
      </c>
      <c r="Z45" s="17">
        <f>IF(OR($B45="",Z$5=""),"",IFERROR(SUMIFS(nrES_Rec,nrES_PID,$B45,nrES_Code,Z$5,nrES_Final,"Yes"),""))</f>
        <v/>
      </c>
      <c r="AA45" s="17">
        <f>IF(OR($B45="",AA$5=""),"",IFERROR(SUMIFS(nrES_Rec,nrES_PID,$B45,nrES_Code,AA$5,nrES_Final,"Yes"),""))</f>
        <v/>
      </c>
      <c r="AB45" s="17">
        <f>IF(OR($B45="",AB$5=""),"",IFERROR(SUMIFS(nrES_Rec,nrES_PID,$B45,nrES_Code,AB$5,nrES_Final,"Yes"),""))</f>
        <v/>
      </c>
      <c r="AC45" s="17">
        <f>IF($B45="","",sysGrades!$M45)</f>
        <v/>
      </c>
      <c r="AD45" s="17">
        <f>IF($B45="","",IFERROR(sysGrades!$U45,""))</f>
        <v/>
      </c>
    </row>
    <row r="46">
      <c r="B46" s="17">
        <f>IF(Cadets!$B46="","",Cadets!$B46)</f>
        <v/>
      </c>
      <c r="C46" s="17">
        <f>IF($B46="","",Cadets!$F46)</f>
        <v/>
      </c>
      <c r="D46" s="17">
        <f>IF(OR($B46="",D$5=""),"",IFERROR(SUMIFS(nrES_Rec,nrES_PID,$B46,nrES_Code,D$5,nrES_Final,"Yes"),""))</f>
        <v/>
      </c>
      <c r="E46" s="17">
        <f>IF(OR($B46="",E$5=""),"",IFERROR(SUMIFS(nrES_Rec,nrES_PID,$B46,nrES_Code,E$5,nrES_Final,"Yes"),""))</f>
        <v/>
      </c>
      <c r="F46" s="17">
        <f>IF(OR($B46="",F$5=""),"",IFERROR(SUMIFS(nrES_Rec,nrES_PID,$B46,nrES_Code,F$5,nrES_Final,"Yes"),""))</f>
        <v/>
      </c>
      <c r="G46" s="17">
        <f>IF(OR($B46="",G$5=""),"",IFERROR(SUMIFS(nrES_Rec,nrES_PID,$B46,nrES_Code,G$5,nrES_Final,"Yes"),""))</f>
        <v/>
      </c>
      <c r="H46" s="17">
        <f>IF(OR($B46="",H$5=""),"",IFERROR(SUMIFS(nrES_Rec,nrES_PID,$B46,nrES_Code,H$5,nrES_Final,"Yes"),""))</f>
        <v/>
      </c>
      <c r="I46" s="17">
        <f>IF(OR($B46="",I$5=""),"",IFERROR(SUMIFS(nrES_Rec,nrES_PID,$B46,nrES_Code,I$5,nrES_Final,"Yes"),""))</f>
        <v/>
      </c>
      <c r="J46" s="17">
        <f>IF(OR($B46="",J$5=""),"",IFERROR(SUMIFS(nrES_Rec,nrES_PID,$B46,nrES_Code,J$5,nrES_Final,"Yes"),""))</f>
        <v/>
      </c>
      <c r="K46" s="17">
        <f>IF(OR($B46="",K$5=""),"",IFERROR(SUMIFS(nrES_Rec,nrES_PID,$B46,nrES_Code,K$5,nrES_Final,"Yes"),""))</f>
        <v/>
      </c>
      <c r="L46" s="17">
        <f>IF(OR($B46="",L$5=""),"",IFERROR(SUMIFS(nrES_Rec,nrES_PID,$B46,nrES_Code,L$5,nrES_Final,"Yes"),""))</f>
        <v/>
      </c>
      <c r="M46" s="17">
        <f>IF(OR($B46="",M$5=""),"",IFERROR(SUMIFS(nrES_Rec,nrES_PID,$B46,nrES_Code,M$5,nrES_Final,"Yes"),""))</f>
        <v/>
      </c>
      <c r="N46" s="17">
        <f>IF(OR($B46="",N$5=""),"",IFERROR(SUMIFS(nrES_Rec,nrES_PID,$B46,nrES_Code,N$5,nrES_Final,"Yes"),""))</f>
        <v/>
      </c>
      <c r="O46" s="17">
        <f>IF(OR($B46="",O$5=""),"",IFERROR(SUMIFS(nrES_Rec,nrES_PID,$B46,nrES_Code,O$5,nrES_Final,"Yes"),""))</f>
        <v/>
      </c>
      <c r="P46" s="17">
        <f>IF(OR($B46="",P$5=""),"",IFERROR(SUMIFS(nrES_Rec,nrES_PID,$B46,nrES_Code,P$5,nrES_Final,"Yes"),""))</f>
        <v/>
      </c>
      <c r="Q46" s="17">
        <f>IF(OR($B46="",Q$5=""),"",IFERROR(SUMIFS(nrES_Rec,nrES_PID,$B46,nrES_Code,Q$5,nrES_Final,"Yes"),""))</f>
        <v/>
      </c>
      <c r="R46" s="17">
        <f>IF(OR($B46="",R$5=""),"",IFERROR(SUMIFS(nrES_Rec,nrES_PID,$B46,nrES_Code,R$5,nrES_Final,"Yes"),""))</f>
        <v/>
      </c>
      <c r="S46" s="17">
        <f>IF(OR($B46="",S$5=""),"",IFERROR(SUMIFS(nrES_Rec,nrES_PID,$B46,nrES_Code,S$5,nrES_Final,"Yes"),""))</f>
        <v/>
      </c>
      <c r="T46" s="17">
        <f>IF(OR($B46="",T$5=""),"",IFERROR(SUMIFS(nrES_Rec,nrES_PID,$B46,nrES_Code,T$5,nrES_Final,"Yes"),""))</f>
        <v/>
      </c>
      <c r="U46" s="17">
        <f>IF(OR($B46="",U$5=""),"",IFERROR(SUMIFS(nrES_Rec,nrES_PID,$B46,nrES_Code,U$5,nrES_Final,"Yes"),""))</f>
        <v/>
      </c>
      <c r="V46" s="17">
        <f>IF(OR($B46="",V$5=""),"",IFERROR(SUMIFS(nrES_Rec,nrES_PID,$B46,nrES_Code,V$5,nrES_Final,"Yes"),""))</f>
        <v/>
      </c>
      <c r="W46" s="17">
        <f>IF(OR($B46="",W$5=""),"",IFERROR(SUMIFS(nrES_Rec,nrES_PID,$B46,nrES_Code,W$5,nrES_Final,"Yes"),""))</f>
        <v/>
      </c>
      <c r="X46" s="17">
        <f>IF(OR($B46="",X$5=""),"",IFERROR(SUMIFS(nrES_Rec,nrES_PID,$B46,nrES_Code,X$5,nrES_Final,"Yes"),""))</f>
        <v/>
      </c>
      <c r="Y46" s="17">
        <f>IF(OR($B46="",Y$5=""),"",IFERROR(SUMIFS(nrES_Rec,nrES_PID,$B46,nrES_Code,Y$5,nrES_Final,"Yes"),""))</f>
        <v/>
      </c>
      <c r="Z46" s="17">
        <f>IF(OR($B46="",Z$5=""),"",IFERROR(SUMIFS(nrES_Rec,nrES_PID,$B46,nrES_Code,Z$5,nrES_Final,"Yes"),""))</f>
        <v/>
      </c>
      <c r="AA46" s="17">
        <f>IF(OR($B46="",AA$5=""),"",IFERROR(SUMIFS(nrES_Rec,nrES_PID,$B46,nrES_Code,AA$5,nrES_Final,"Yes"),""))</f>
        <v/>
      </c>
      <c r="AB46" s="17">
        <f>IF(OR($B46="",AB$5=""),"",IFERROR(SUMIFS(nrES_Rec,nrES_PID,$B46,nrES_Code,AB$5,nrES_Final,"Yes"),""))</f>
        <v/>
      </c>
      <c r="AC46" s="17">
        <f>IF($B46="","",sysGrades!$M46)</f>
        <v/>
      </c>
      <c r="AD46" s="17">
        <f>IF($B46="","",IFERROR(sysGrades!$U46,""))</f>
        <v/>
      </c>
    </row>
    <row r="47">
      <c r="B47" s="17">
        <f>IF(Cadets!$B47="","",Cadets!$B47)</f>
        <v/>
      </c>
      <c r="C47" s="17">
        <f>IF($B47="","",Cadets!$F47)</f>
        <v/>
      </c>
      <c r="D47" s="17">
        <f>IF(OR($B47="",D$5=""),"",IFERROR(SUMIFS(nrES_Rec,nrES_PID,$B47,nrES_Code,D$5,nrES_Final,"Yes"),""))</f>
        <v/>
      </c>
      <c r="E47" s="17">
        <f>IF(OR($B47="",E$5=""),"",IFERROR(SUMIFS(nrES_Rec,nrES_PID,$B47,nrES_Code,E$5,nrES_Final,"Yes"),""))</f>
        <v/>
      </c>
      <c r="F47" s="17">
        <f>IF(OR($B47="",F$5=""),"",IFERROR(SUMIFS(nrES_Rec,nrES_PID,$B47,nrES_Code,F$5,nrES_Final,"Yes"),""))</f>
        <v/>
      </c>
      <c r="G47" s="17">
        <f>IF(OR($B47="",G$5=""),"",IFERROR(SUMIFS(nrES_Rec,nrES_PID,$B47,nrES_Code,G$5,nrES_Final,"Yes"),""))</f>
        <v/>
      </c>
      <c r="H47" s="17">
        <f>IF(OR($B47="",H$5=""),"",IFERROR(SUMIFS(nrES_Rec,nrES_PID,$B47,nrES_Code,H$5,nrES_Final,"Yes"),""))</f>
        <v/>
      </c>
      <c r="I47" s="17">
        <f>IF(OR($B47="",I$5=""),"",IFERROR(SUMIFS(nrES_Rec,nrES_PID,$B47,nrES_Code,I$5,nrES_Final,"Yes"),""))</f>
        <v/>
      </c>
      <c r="J47" s="17">
        <f>IF(OR($B47="",J$5=""),"",IFERROR(SUMIFS(nrES_Rec,nrES_PID,$B47,nrES_Code,J$5,nrES_Final,"Yes"),""))</f>
        <v/>
      </c>
      <c r="K47" s="17">
        <f>IF(OR($B47="",K$5=""),"",IFERROR(SUMIFS(nrES_Rec,nrES_PID,$B47,nrES_Code,K$5,nrES_Final,"Yes"),""))</f>
        <v/>
      </c>
      <c r="L47" s="17">
        <f>IF(OR($B47="",L$5=""),"",IFERROR(SUMIFS(nrES_Rec,nrES_PID,$B47,nrES_Code,L$5,nrES_Final,"Yes"),""))</f>
        <v/>
      </c>
      <c r="M47" s="17">
        <f>IF(OR($B47="",M$5=""),"",IFERROR(SUMIFS(nrES_Rec,nrES_PID,$B47,nrES_Code,M$5,nrES_Final,"Yes"),""))</f>
        <v/>
      </c>
      <c r="N47" s="17">
        <f>IF(OR($B47="",N$5=""),"",IFERROR(SUMIFS(nrES_Rec,nrES_PID,$B47,nrES_Code,N$5,nrES_Final,"Yes"),""))</f>
        <v/>
      </c>
      <c r="O47" s="17">
        <f>IF(OR($B47="",O$5=""),"",IFERROR(SUMIFS(nrES_Rec,nrES_PID,$B47,nrES_Code,O$5,nrES_Final,"Yes"),""))</f>
        <v/>
      </c>
      <c r="P47" s="17">
        <f>IF(OR($B47="",P$5=""),"",IFERROR(SUMIFS(nrES_Rec,nrES_PID,$B47,nrES_Code,P$5,nrES_Final,"Yes"),""))</f>
        <v/>
      </c>
      <c r="Q47" s="17">
        <f>IF(OR($B47="",Q$5=""),"",IFERROR(SUMIFS(nrES_Rec,nrES_PID,$B47,nrES_Code,Q$5,nrES_Final,"Yes"),""))</f>
        <v/>
      </c>
      <c r="R47" s="17">
        <f>IF(OR($B47="",R$5=""),"",IFERROR(SUMIFS(nrES_Rec,nrES_PID,$B47,nrES_Code,R$5,nrES_Final,"Yes"),""))</f>
        <v/>
      </c>
      <c r="S47" s="17">
        <f>IF(OR($B47="",S$5=""),"",IFERROR(SUMIFS(nrES_Rec,nrES_PID,$B47,nrES_Code,S$5,nrES_Final,"Yes"),""))</f>
        <v/>
      </c>
      <c r="T47" s="17">
        <f>IF(OR($B47="",T$5=""),"",IFERROR(SUMIFS(nrES_Rec,nrES_PID,$B47,nrES_Code,T$5,nrES_Final,"Yes"),""))</f>
        <v/>
      </c>
      <c r="U47" s="17">
        <f>IF(OR($B47="",U$5=""),"",IFERROR(SUMIFS(nrES_Rec,nrES_PID,$B47,nrES_Code,U$5,nrES_Final,"Yes"),""))</f>
        <v/>
      </c>
      <c r="V47" s="17">
        <f>IF(OR($B47="",V$5=""),"",IFERROR(SUMIFS(nrES_Rec,nrES_PID,$B47,nrES_Code,V$5,nrES_Final,"Yes"),""))</f>
        <v/>
      </c>
      <c r="W47" s="17">
        <f>IF(OR($B47="",W$5=""),"",IFERROR(SUMIFS(nrES_Rec,nrES_PID,$B47,nrES_Code,W$5,nrES_Final,"Yes"),""))</f>
        <v/>
      </c>
      <c r="X47" s="17">
        <f>IF(OR($B47="",X$5=""),"",IFERROR(SUMIFS(nrES_Rec,nrES_PID,$B47,nrES_Code,X$5,nrES_Final,"Yes"),""))</f>
        <v/>
      </c>
      <c r="Y47" s="17">
        <f>IF(OR($B47="",Y$5=""),"",IFERROR(SUMIFS(nrES_Rec,nrES_PID,$B47,nrES_Code,Y$5,nrES_Final,"Yes"),""))</f>
        <v/>
      </c>
      <c r="Z47" s="17">
        <f>IF(OR($B47="",Z$5=""),"",IFERROR(SUMIFS(nrES_Rec,nrES_PID,$B47,nrES_Code,Z$5,nrES_Final,"Yes"),""))</f>
        <v/>
      </c>
      <c r="AA47" s="17">
        <f>IF(OR($B47="",AA$5=""),"",IFERROR(SUMIFS(nrES_Rec,nrES_PID,$B47,nrES_Code,AA$5,nrES_Final,"Yes"),""))</f>
        <v/>
      </c>
      <c r="AB47" s="17">
        <f>IF(OR($B47="",AB$5=""),"",IFERROR(SUMIFS(nrES_Rec,nrES_PID,$B47,nrES_Code,AB$5,nrES_Final,"Yes"),""))</f>
        <v/>
      </c>
      <c r="AC47" s="17">
        <f>IF($B47="","",sysGrades!$M47)</f>
        <v/>
      </c>
      <c r="AD47" s="17">
        <f>IF($B47="","",IFERROR(sysGrades!$U47,""))</f>
        <v/>
      </c>
    </row>
    <row r="48">
      <c r="B48" s="17">
        <f>IF(Cadets!$B48="","",Cadets!$B48)</f>
        <v/>
      </c>
      <c r="C48" s="17">
        <f>IF($B48="","",Cadets!$F48)</f>
        <v/>
      </c>
      <c r="D48" s="17">
        <f>IF(OR($B48="",D$5=""),"",IFERROR(SUMIFS(nrES_Rec,nrES_PID,$B48,nrES_Code,D$5,nrES_Final,"Yes"),""))</f>
        <v/>
      </c>
      <c r="E48" s="17">
        <f>IF(OR($B48="",E$5=""),"",IFERROR(SUMIFS(nrES_Rec,nrES_PID,$B48,nrES_Code,E$5,nrES_Final,"Yes"),""))</f>
        <v/>
      </c>
      <c r="F48" s="17">
        <f>IF(OR($B48="",F$5=""),"",IFERROR(SUMIFS(nrES_Rec,nrES_PID,$B48,nrES_Code,F$5,nrES_Final,"Yes"),""))</f>
        <v/>
      </c>
      <c r="G48" s="17">
        <f>IF(OR($B48="",G$5=""),"",IFERROR(SUMIFS(nrES_Rec,nrES_PID,$B48,nrES_Code,G$5,nrES_Final,"Yes"),""))</f>
        <v/>
      </c>
      <c r="H48" s="17">
        <f>IF(OR($B48="",H$5=""),"",IFERROR(SUMIFS(nrES_Rec,nrES_PID,$B48,nrES_Code,H$5,nrES_Final,"Yes"),""))</f>
        <v/>
      </c>
      <c r="I48" s="17">
        <f>IF(OR($B48="",I$5=""),"",IFERROR(SUMIFS(nrES_Rec,nrES_PID,$B48,nrES_Code,I$5,nrES_Final,"Yes"),""))</f>
        <v/>
      </c>
      <c r="J48" s="17">
        <f>IF(OR($B48="",J$5=""),"",IFERROR(SUMIFS(nrES_Rec,nrES_PID,$B48,nrES_Code,J$5,nrES_Final,"Yes"),""))</f>
        <v/>
      </c>
      <c r="K48" s="17">
        <f>IF(OR($B48="",K$5=""),"",IFERROR(SUMIFS(nrES_Rec,nrES_PID,$B48,nrES_Code,K$5,nrES_Final,"Yes"),""))</f>
        <v/>
      </c>
      <c r="L48" s="17">
        <f>IF(OR($B48="",L$5=""),"",IFERROR(SUMIFS(nrES_Rec,nrES_PID,$B48,nrES_Code,L$5,nrES_Final,"Yes"),""))</f>
        <v/>
      </c>
      <c r="M48" s="17">
        <f>IF(OR($B48="",M$5=""),"",IFERROR(SUMIFS(nrES_Rec,nrES_PID,$B48,nrES_Code,M$5,nrES_Final,"Yes"),""))</f>
        <v/>
      </c>
      <c r="N48" s="17">
        <f>IF(OR($B48="",N$5=""),"",IFERROR(SUMIFS(nrES_Rec,nrES_PID,$B48,nrES_Code,N$5,nrES_Final,"Yes"),""))</f>
        <v/>
      </c>
      <c r="O48" s="17">
        <f>IF(OR($B48="",O$5=""),"",IFERROR(SUMIFS(nrES_Rec,nrES_PID,$B48,nrES_Code,O$5,nrES_Final,"Yes"),""))</f>
        <v/>
      </c>
      <c r="P48" s="17">
        <f>IF(OR($B48="",P$5=""),"",IFERROR(SUMIFS(nrES_Rec,nrES_PID,$B48,nrES_Code,P$5,nrES_Final,"Yes"),""))</f>
        <v/>
      </c>
      <c r="Q48" s="17">
        <f>IF(OR($B48="",Q$5=""),"",IFERROR(SUMIFS(nrES_Rec,nrES_PID,$B48,nrES_Code,Q$5,nrES_Final,"Yes"),""))</f>
        <v/>
      </c>
      <c r="R48" s="17">
        <f>IF(OR($B48="",R$5=""),"",IFERROR(SUMIFS(nrES_Rec,nrES_PID,$B48,nrES_Code,R$5,nrES_Final,"Yes"),""))</f>
        <v/>
      </c>
      <c r="S48" s="17">
        <f>IF(OR($B48="",S$5=""),"",IFERROR(SUMIFS(nrES_Rec,nrES_PID,$B48,nrES_Code,S$5,nrES_Final,"Yes"),""))</f>
        <v/>
      </c>
      <c r="T48" s="17">
        <f>IF(OR($B48="",T$5=""),"",IFERROR(SUMIFS(nrES_Rec,nrES_PID,$B48,nrES_Code,T$5,nrES_Final,"Yes"),""))</f>
        <v/>
      </c>
      <c r="U48" s="17">
        <f>IF(OR($B48="",U$5=""),"",IFERROR(SUMIFS(nrES_Rec,nrES_PID,$B48,nrES_Code,U$5,nrES_Final,"Yes"),""))</f>
        <v/>
      </c>
      <c r="V48" s="17">
        <f>IF(OR($B48="",V$5=""),"",IFERROR(SUMIFS(nrES_Rec,nrES_PID,$B48,nrES_Code,V$5,nrES_Final,"Yes"),""))</f>
        <v/>
      </c>
      <c r="W48" s="17">
        <f>IF(OR($B48="",W$5=""),"",IFERROR(SUMIFS(nrES_Rec,nrES_PID,$B48,nrES_Code,W$5,nrES_Final,"Yes"),""))</f>
        <v/>
      </c>
      <c r="X48" s="17">
        <f>IF(OR($B48="",X$5=""),"",IFERROR(SUMIFS(nrES_Rec,nrES_PID,$B48,nrES_Code,X$5,nrES_Final,"Yes"),""))</f>
        <v/>
      </c>
      <c r="Y48" s="17">
        <f>IF(OR($B48="",Y$5=""),"",IFERROR(SUMIFS(nrES_Rec,nrES_PID,$B48,nrES_Code,Y$5,nrES_Final,"Yes"),""))</f>
        <v/>
      </c>
      <c r="Z48" s="17">
        <f>IF(OR($B48="",Z$5=""),"",IFERROR(SUMIFS(nrES_Rec,nrES_PID,$B48,nrES_Code,Z$5,nrES_Final,"Yes"),""))</f>
        <v/>
      </c>
      <c r="AA48" s="17">
        <f>IF(OR($B48="",AA$5=""),"",IFERROR(SUMIFS(nrES_Rec,nrES_PID,$B48,nrES_Code,AA$5,nrES_Final,"Yes"),""))</f>
        <v/>
      </c>
      <c r="AB48" s="17">
        <f>IF(OR($B48="",AB$5=""),"",IFERROR(SUMIFS(nrES_Rec,nrES_PID,$B48,nrES_Code,AB$5,nrES_Final,"Yes"),""))</f>
        <v/>
      </c>
      <c r="AC48" s="17">
        <f>IF($B48="","",sysGrades!$M48)</f>
        <v/>
      </c>
      <c r="AD48" s="17">
        <f>IF($B48="","",IFERROR(sysGrades!$U48,""))</f>
        <v/>
      </c>
    </row>
    <row r="49">
      <c r="B49" s="17">
        <f>IF(Cadets!$B49="","",Cadets!$B49)</f>
        <v/>
      </c>
      <c r="C49" s="17">
        <f>IF($B49="","",Cadets!$F49)</f>
        <v/>
      </c>
      <c r="D49" s="17">
        <f>IF(OR($B49="",D$5=""),"",IFERROR(SUMIFS(nrES_Rec,nrES_PID,$B49,nrES_Code,D$5,nrES_Final,"Yes"),""))</f>
        <v/>
      </c>
      <c r="E49" s="17">
        <f>IF(OR($B49="",E$5=""),"",IFERROR(SUMIFS(nrES_Rec,nrES_PID,$B49,nrES_Code,E$5,nrES_Final,"Yes"),""))</f>
        <v/>
      </c>
      <c r="F49" s="17">
        <f>IF(OR($B49="",F$5=""),"",IFERROR(SUMIFS(nrES_Rec,nrES_PID,$B49,nrES_Code,F$5,nrES_Final,"Yes"),""))</f>
        <v/>
      </c>
      <c r="G49" s="17">
        <f>IF(OR($B49="",G$5=""),"",IFERROR(SUMIFS(nrES_Rec,nrES_PID,$B49,nrES_Code,G$5,nrES_Final,"Yes"),""))</f>
        <v/>
      </c>
      <c r="H49" s="17">
        <f>IF(OR($B49="",H$5=""),"",IFERROR(SUMIFS(nrES_Rec,nrES_PID,$B49,nrES_Code,H$5,nrES_Final,"Yes"),""))</f>
        <v/>
      </c>
      <c r="I49" s="17">
        <f>IF(OR($B49="",I$5=""),"",IFERROR(SUMIFS(nrES_Rec,nrES_PID,$B49,nrES_Code,I$5,nrES_Final,"Yes"),""))</f>
        <v/>
      </c>
      <c r="J49" s="17">
        <f>IF(OR($B49="",J$5=""),"",IFERROR(SUMIFS(nrES_Rec,nrES_PID,$B49,nrES_Code,J$5,nrES_Final,"Yes"),""))</f>
        <v/>
      </c>
      <c r="K49" s="17">
        <f>IF(OR($B49="",K$5=""),"",IFERROR(SUMIFS(nrES_Rec,nrES_PID,$B49,nrES_Code,K$5,nrES_Final,"Yes"),""))</f>
        <v/>
      </c>
      <c r="L49" s="17">
        <f>IF(OR($B49="",L$5=""),"",IFERROR(SUMIFS(nrES_Rec,nrES_PID,$B49,nrES_Code,L$5,nrES_Final,"Yes"),""))</f>
        <v/>
      </c>
      <c r="M49" s="17">
        <f>IF(OR($B49="",M$5=""),"",IFERROR(SUMIFS(nrES_Rec,nrES_PID,$B49,nrES_Code,M$5,nrES_Final,"Yes"),""))</f>
        <v/>
      </c>
      <c r="N49" s="17">
        <f>IF(OR($B49="",N$5=""),"",IFERROR(SUMIFS(nrES_Rec,nrES_PID,$B49,nrES_Code,N$5,nrES_Final,"Yes"),""))</f>
        <v/>
      </c>
      <c r="O49" s="17">
        <f>IF(OR($B49="",O$5=""),"",IFERROR(SUMIFS(nrES_Rec,nrES_PID,$B49,nrES_Code,O$5,nrES_Final,"Yes"),""))</f>
        <v/>
      </c>
      <c r="P49" s="17">
        <f>IF(OR($B49="",P$5=""),"",IFERROR(SUMIFS(nrES_Rec,nrES_PID,$B49,nrES_Code,P$5,nrES_Final,"Yes"),""))</f>
        <v/>
      </c>
      <c r="Q49" s="17">
        <f>IF(OR($B49="",Q$5=""),"",IFERROR(SUMIFS(nrES_Rec,nrES_PID,$B49,nrES_Code,Q$5,nrES_Final,"Yes"),""))</f>
        <v/>
      </c>
      <c r="R49" s="17">
        <f>IF(OR($B49="",R$5=""),"",IFERROR(SUMIFS(nrES_Rec,nrES_PID,$B49,nrES_Code,R$5,nrES_Final,"Yes"),""))</f>
        <v/>
      </c>
      <c r="S49" s="17">
        <f>IF(OR($B49="",S$5=""),"",IFERROR(SUMIFS(nrES_Rec,nrES_PID,$B49,nrES_Code,S$5,nrES_Final,"Yes"),""))</f>
        <v/>
      </c>
      <c r="T49" s="17">
        <f>IF(OR($B49="",T$5=""),"",IFERROR(SUMIFS(nrES_Rec,nrES_PID,$B49,nrES_Code,T$5,nrES_Final,"Yes"),""))</f>
        <v/>
      </c>
      <c r="U49" s="17">
        <f>IF(OR($B49="",U$5=""),"",IFERROR(SUMIFS(nrES_Rec,nrES_PID,$B49,nrES_Code,U$5,nrES_Final,"Yes"),""))</f>
        <v/>
      </c>
      <c r="V49" s="17">
        <f>IF(OR($B49="",V$5=""),"",IFERROR(SUMIFS(nrES_Rec,nrES_PID,$B49,nrES_Code,V$5,nrES_Final,"Yes"),""))</f>
        <v/>
      </c>
      <c r="W49" s="17">
        <f>IF(OR($B49="",W$5=""),"",IFERROR(SUMIFS(nrES_Rec,nrES_PID,$B49,nrES_Code,W$5,nrES_Final,"Yes"),""))</f>
        <v/>
      </c>
      <c r="X49" s="17">
        <f>IF(OR($B49="",X$5=""),"",IFERROR(SUMIFS(nrES_Rec,nrES_PID,$B49,nrES_Code,X$5,nrES_Final,"Yes"),""))</f>
        <v/>
      </c>
      <c r="Y49" s="17">
        <f>IF(OR($B49="",Y$5=""),"",IFERROR(SUMIFS(nrES_Rec,nrES_PID,$B49,nrES_Code,Y$5,nrES_Final,"Yes"),""))</f>
        <v/>
      </c>
      <c r="Z49" s="17">
        <f>IF(OR($B49="",Z$5=""),"",IFERROR(SUMIFS(nrES_Rec,nrES_PID,$B49,nrES_Code,Z$5,nrES_Final,"Yes"),""))</f>
        <v/>
      </c>
      <c r="AA49" s="17">
        <f>IF(OR($B49="",AA$5=""),"",IFERROR(SUMIFS(nrES_Rec,nrES_PID,$B49,nrES_Code,AA$5,nrES_Final,"Yes"),""))</f>
        <v/>
      </c>
      <c r="AB49" s="17">
        <f>IF(OR($B49="",AB$5=""),"",IFERROR(SUMIFS(nrES_Rec,nrES_PID,$B49,nrES_Code,AB$5,nrES_Final,"Yes"),""))</f>
        <v/>
      </c>
      <c r="AC49" s="17">
        <f>IF($B49="","",sysGrades!$M49)</f>
        <v/>
      </c>
      <c r="AD49" s="17">
        <f>IF($B49="","",IFERROR(sysGrades!$U49,""))</f>
        <v/>
      </c>
    </row>
    <row r="50">
      <c r="B50" s="17">
        <f>IF(Cadets!$B50="","",Cadets!$B50)</f>
        <v/>
      </c>
      <c r="C50" s="17">
        <f>IF($B50="","",Cadets!$F50)</f>
        <v/>
      </c>
      <c r="D50" s="17">
        <f>IF(OR($B50="",D$5=""),"",IFERROR(SUMIFS(nrES_Rec,nrES_PID,$B50,nrES_Code,D$5,nrES_Final,"Yes"),""))</f>
        <v/>
      </c>
      <c r="E50" s="17">
        <f>IF(OR($B50="",E$5=""),"",IFERROR(SUMIFS(nrES_Rec,nrES_PID,$B50,nrES_Code,E$5,nrES_Final,"Yes"),""))</f>
        <v/>
      </c>
      <c r="F50" s="17">
        <f>IF(OR($B50="",F$5=""),"",IFERROR(SUMIFS(nrES_Rec,nrES_PID,$B50,nrES_Code,F$5,nrES_Final,"Yes"),""))</f>
        <v/>
      </c>
      <c r="G50" s="17">
        <f>IF(OR($B50="",G$5=""),"",IFERROR(SUMIFS(nrES_Rec,nrES_PID,$B50,nrES_Code,G$5,nrES_Final,"Yes"),""))</f>
        <v/>
      </c>
      <c r="H50" s="17">
        <f>IF(OR($B50="",H$5=""),"",IFERROR(SUMIFS(nrES_Rec,nrES_PID,$B50,nrES_Code,H$5,nrES_Final,"Yes"),""))</f>
        <v/>
      </c>
      <c r="I50" s="17">
        <f>IF(OR($B50="",I$5=""),"",IFERROR(SUMIFS(nrES_Rec,nrES_PID,$B50,nrES_Code,I$5,nrES_Final,"Yes"),""))</f>
        <v/>
      </c>
      <c r="J50" s="17">
        <f>IF(OR($B50="",J$5=""),"",IFERROR(SUMIFS(nrES_Rec,nrES_PID,$B50,nrES_Code,J$5,nrES_Final,"Yes"),""))</f>
        <v/>
      </c>
      <c r="K50" s="17">
        <f>IF(OR($B50="",K$5=""),"",IFERROR(SUMIFS(nrES_Rec,nrES_PID,$B50,nrES_Code,K$5,nrES_Final,"Yes"),""))</f>
        <v/>
      </c>
      <c r="L50" s="17">
        <f>IF(OR($B50="",L$5=""),"",IFERROR(SUMIFS(nrES_Rec,nrES_PID,$B50,nrES_Code,L$5,nrES_Final,"Yes"),""))</f>
        <v/>
      </c>
      <c r="M50" s="17">
        <f>IF(OR($B50="",M$5=""),"",IFERROR(SUMIFS(nrES_Rec,nrES_PID,$B50,nrES_Code,M$5,nrES_Final,"Yes"),""))</f>
        <v/>
      </c>
      <c r="N50" s="17">
        <f>IF(OR($B50="",N$5=""),"",IFERROR(SUMIFS(nrES_Rec,nrES_PID,$B50,nrES_Code,N$5,nrES_Final,"Yes"),""))</f>
        <v/>
      </c>
      <c r="O50" s="17">
        <f>IF(OR($B50="",O$5=""),"",IFERROR(SUMIFS(nrES_Rec,nrES_PID,$B50,nrES_Code,O$5,nrES_Final,"Yes"),""))</f>
        <v/>
      </c>
      <c r="P50" s="17">
        <f>IF(OR($B50="",P$5=""),"",IFERROR(SUMIFS(nrES_Rec,nrES_PID,$B50,nrES_Code,P$5,nrES_Final,"Yes"),""))</f>
        <v/>
      </c>
      <c r="Q50" s="17">
        <f>IF(OR($B50="",Q$5=""),"",IFERROR(SUMIFS(nrES_Rec,nrES_PID,$B50,nrES_Code,Q$5,nrES_Final,"Yes"),""))</f>
        <v/>
      </c>
      <c r="R50" s="17">
        <f>IF(OR($B50="",R$5=""),"",IFERROR(SUMIFS(nrES_Rec,nrES_PID,$B50,nrES_Code,R$5,nrES_Final,"Yes"),""))</f>
        <v/>
      </c>
      <c r="S50" s="17">
        <f>IF(OR($B50="",S$5=""),"",IFERROR(SUMIFS(nrES_Rec,nrES_PID,$B50,nrES_Code,S$5,nrES_Final,"Yes"),""))</f>
        <v/>
      </c>
      <c r="T50" s="17">
        <f>IF(OR($B50="",T$5=""),"",IFERROR(SUMIFS(nrES_Rec,nrES_PID,$B50,nrES_Code,T$5,nrES_Final,"Yes"),""))</f>
        <v/>
      </c>
      <c r="U50" s="17">
        <f>IF(OR($B50="",U$5=""),"",IFERROR(SUMIFS(nrES_Rec,nrES_PID,$B50,nrES_Code,U$5,nrES_Final,"Yes"),""))</f>
        <v/>
      </c>
      <c r="V50" s="17">
        <f>IF(OR($B50="",V$5=""),"",IFERROR(SUMIFS(nrES_Rec,nrES_PID,$B50,nrES_Code,V$5,nrES_Final,"Yes"),""))</f>
        <v/>
      </c>
      <c r="W50" s="17">
        <f>IF(OR($B50="",W$5=""),"",IFERROR(SUMIFS(nrES_Rec,nrES_PID,$B50,nrES_Code,W$5,nrES_Final,"Yes"),""))</f>
        <v/>
      </c>
      <c r="X50" s="17">
        <f>IF(OR($B50="",X$5=""),"",IFERROR(SUMIFS(nrES_Rec,nrES_PID,$B50,nrES_Code,X$5,nrES_Final,"Yes"),""))</f>
        <v/>
      </c>
      <c r="Y50" s="17">
        <f>IF(OR($B50="",Y$5=""),"",IFERROR(SUMIFS(nrES_Rec,nrES_PID,$B50,nrES_Code,Y$5,nrES_Final,"Yes"),""))</f>
        <v/>
      </c>
      <c r="Z50" s="17">
        <f>IF(OR($B50="",Z$5=""),"",IFERROR(SUMIFS(nrES_Rec,nrES_PID,$B50,nrES_Code,Z$5,nrES_Final,"Yes"),""))</f>
        <v/>
      </c>
      <c r="AA50" s="17">
        <f>IF(OR($B50="",AA$5=""),"",IFERROR(SUMIFS(nrES_Rec,nrES_PID,$B50,nrES_Code,AA$5,nrES_Final,"Yes"),""))</f>
        <v/>
      </c>
      <c r="AB50" s="17">
        <f>IF(OR($B50="",AB$5=""),"",IFERROR(SUMIFS(nrES_Rec,nrES_PID,$B50,nrES_Code,AB$5,nrES_Final,"Yes"),""))</f>
        <v/>
      </c>
      <c r="AC50" s="17">
        <f>IF($B50="","",sysGrades!$M50)</f>
        <v/>
      </c>
      <c r="AD50" s="17">
        <f>IF($B50="","",IFERROR(sysGrades!$U50,""))</f>
        <v/>
      </c>
    </row>
    <row r="51">
      <c r="B51" s="17">
        <f>IF(Cadets!$B51="","",Cadets!$B51)</f>
        <v/>
      </c>
      <c r="C51" s="17">
        <f>IF($B51="","",Cadets!$F51)</f>
        <v/>
      </c>
      <c r="D51" s="17">
        <f>IF(OR($B51="",D$5=""),"",IFERROR(SUMIFS(nrES_Rec,nrES_PID,$B51,nrES_Code,D$5,nrES_Final,"Yes"),""))</f>
        <v/>
      </c>
      <c r="E51" s="17">
        <f>IF(OR($B51="",E$5=""),"",IFERROR(SUMIFS(nrES_Rec,nrES_PID,$B51,nrES_Code,E$5,nrES_Final,"Yes"),""))</f>
        <v/>
      </c>
      <c r="F51" s="17">
        <f>IF(OR($B51="",F$5=""),"",IFERROR(SUMIFS(nrES_Rec,nrES_PID,$B51,nrES_Code,F$5,nrES_Final,"Yes"),""))</f>
        <v/>
      </c>
      <c r="G51" s="17">
        <f>IF(OR($B51="",G$5=""),"",IFERROR(SUMIFS(nrES_Rec,nrES_PID,$B51,nrES_Code,G$5,nrES_Final,"Yes"),""))</f>
        <v/>
      </c>
      <c r="H51" s="17">
        <f>IF(OR($B51="",H$5=""),"",IFERROR(SUMIFS(nrES_Rec,nrES_PID,$B51,nrES_Code,H$5,nrES_Final,"Yes"),""))</f>
        <v/>
      </c>
      <c r="I51" s="17">
        <f>IF(OR($B51="",I$5=""),"",IFERROR(SUMIFS(nrES_Rec,nrES_PID,$B51,nrES_Code,I$5,nrES_Final,"Yes"),""))</f>
        <v/>
      </c>
      <c r="J51" s="17">
        <f>IF(OR($B51="",J$5=""),"",IFERROR(SUMIFS(nrES_Rec,nrES_PID,$B51,nrES_Code,J$5,nrES_Final,"Yes"),""))</f>
        <v/>
      </c>
      <c r="K51" s="17">
        <f>IF(OR($B51="",K$5=""),"",IFERROR(SUMIFS(nrES_Rec,nrES_PID,$B51,nrES_Code,K$5,nrES_Final,"Yes"),""))</f>
        <v/>
      </c>
      <c r="L51" s="17">
        <f>IF(OR($B51="",L$5=""),"",IFERROR(SUMIFS(nrES_Rec,nrES_PID,$B51,nrES_Code,L$5,nrES_Final,"Yes"),""))</f>
        <v/>
      </c>
      <c r="M51" s="17">
        <f>IF(OR($B51="",M$5=""),"",IFERROR(SUMIFS(nrES_Rec,nrES_PID,$B51,nrES_Code,M$5,nrES_Final,"Yes"),""))</f>
        <v/>
      </c>
      <c r="N51" s="17">
        <f>IF(OR($B51="",N$5=""),"",IFERROR(SUMIFS(nrES_Rec,nrES_PID,$B51,nrES_Code,N$5,nrES_Final,"Yes"),""))</f>
        <v/>
      </c>
      <c r="O51" s="17">
        <f>IF(OR($B51="",O$5=""),"",IFERROR(SUMIFS(nrES_Rec,nrES_PID,$B51,nrES_Code,O$5,nrES_Final,"Yes"),""))</f>
        <v/>
      </c>
      <c r="P51" s="17">
        <f>IF(OR($B51="",P$5=""),"",IFERROR(SUMIFS(nrES_Rec,nrES_PID,$B51,nrES_Code,P$5,nrES_Final,"Yes"),""))</f>
        <v/>
      </c>
      <c r="Q51" s="17">
        <f>IF(OR($B51="",Q$5=""),"",IFERROR(SUMIFS(nrES_Rec,nrES_PID,$B51,nrES_Code,Q$5,nrES_Final,"Yes"),""))</f>
        <v/>
      </c>
      <c r="R51" s="17">
        <f>IF(OR($B51="",R$5=""),"",IFERROR(SUMIFS(nrES_Rec,nrES_PID,$B51,nrES_Code,R$5,nrES_Final,"Yes"),""))</f>
        <v/>
      </c>
      <c r="S51" s="17">
        <f>IF(OR($B51="",S$5=""),"",IFERROR(SUMIFS(nrES_Rec,nrES_PID,$B51,nrES_Code,S$5,nrES_Final,"Yes"),""))</f>
        <v/>
      </c>
      <c r="T51" s="17">
        <f>IF(OR($B51="",T$5=""),"",IFERROR(SUMIFS(nrES_Rec,nrES_PID,$B51,nrES_Code,T$5,nrES_Final,"Yes"),""))</f>
        <v/>
      </c>
      <c r="U51" s="17">
        <f>IF(OR($B51="",U$5=""),"",IFERROR(SUMIFS(nrES_Rec,nrES_PID,$B51,nrES_Code,U$5,nrES_Final,"Yes"),""))</f>
        <v/>
      </c>
      <c r="V51" s="17">
        <f>IF(OR($B51="",V$5=""),"",IFERROR(SUMIFS(nrES_Rec,nrES_PID,$B51,nrES_Code,V$5,nrES_Final,"Yes"),""))</f>
        <v/>
      </c>
      <c r="W51" s="17">
        <f>IF(OR($B51="",W$5=""),"",IFERROR(SUMIFS(nrES_Rec,nrES_PID,$B51,nrES_Code,W$5,nrES_Final,"Yes"),""))</f>
        <v/>
      </c>
      <c r="X51" s="17">
        <f>IF(OR($B51="",X$5=""),"",IFERROR(SUMIFS(nrES_Rec,nrES_PID,$B51,nrES_Code,X$5,nrES_Final,"Yes"),""))</f>
        <v/>
      </c>
      <c r="Y51" s="17">
        <f>IF(OR($B51="",Y$5=""),"",IFERROR(SUMIFS(nrES_Rec,nrES_PID,$B51,nrES_Code,Y$5,nrES_Final,"Yes"),""))</f>
        <v/>
      </c>
      <c r="Z51" s="17">
        <f>IF(OR($B51="",Z$5=""),"",IFERROR(SUMIFS(nrES_Rec,nrES_PID,$B51,nrES_Code,Z$5,nrES_Final,"Yes"),""))</f>
        <v/>
      </c>
      <c r="AA51" s="17">
        <f>IF(OR($B51="",AA$5=""),"",IFERROR(SUMIFS(nrES_Rec,nrES_PID,$B51,nrES_Code,AA$5,nrES_Final,"Yes"),""))</f>
        <v/>
      </c>
      <c r="AB51" s="17">
        <f>IF(OR($B51="",AB$5=""),"",IFERROR(SUMIFS(nrES_Rec,nrES_PID,$B51,nrES_Code,AB$5,nrES_Final,"Yes"),""))</f>
        <v/>
      </c>
      <c r="AC51" s="17">
        <f>IF($B51="","",sysGrades!$M51)</f>
        <v/>
      </c>
      <c r="AD51" s="17">
        <f>IF($B51="","",IFERROR(sysGrades!$U51,""))</f>
        <v/>
      </c>
    </row>
    <row r="52">
      <c r="B52" s="17">
        <f>IF(Cadets!$B52="","",Cadets!$B52)</f>
        <v/>
      </c>
      <c r="C52" s="17">
        <f>IF($B52="","",Cadets!$F52)</f>
        <v/>
      </c>
      <c r="D52" s="17">
        <f>IF(OR($B52="",D$5=""),"",IFERROR(SUMIFS(nrES_Rec,nrES_PID,$B52,nrES_Code,D$5,nrES_Final,"Yes"),""))</f>
        <v/>
      </c>
      <c r="E52" s="17">
        <f>IF(OR($B52="",E$5=""),"",IFERROR(SUMIFS(nrES_Rec,nrES_PID,$B52,nrES_Code,E$5,nrES_Final,"Yes"),""))</f>
        <v/>
      </c>
      <c r="F52" s="17">
        <f>IF(OR($B52="",F$5=""),"",IFERROR(SUMIFS(nrES_Rec,nrES_PID,$B52,nrES_Code,F$5,nrES_Final,"Yes"),""))</f>
        <v/>
      </c>
      <c r="G52" s="17">
        <f>IF(OR($B52="",G$5=""),"",IFERROR(SUMIFS(nrES_Rec,nrES_PID,$B52,nrES_Code,G$5,nrES_Final,"Yes"),""))</f>
        <v/>
      </c>
      <c r="H52" s="17">
        <f>IF(OR($B52="",H$5=""),"",IFERROR(SUMIFS(nrES_Rec,nrES_PID,$B52,nrES_Code,H$5,nrES_Final,"Yes"),""))</f>
        <v/>
      </c>
      <c r="I52" s="17">
        <f>IF(OR($B52="",I$5=""),"",IFERROR(SUMIFS(nrES_Rec,nrES_PID,$B52,nrES_Code,I$5,nrES_Final,"Yes"),""))</f>
        <v/>
      </c>
      <c r="J52" s="17">
        <f>IF(OR($B52="",J$5=""),"",IFERROR(SUMIFS(nrES_Rec,nrES_PID,$B52,nrES_Code,J$5,nrES_Final,"Yes"),""))</f>
        <v/>
      </c>
      <c r="K52" s="17">
        <f>IF(OR($B52="",K$5=""),"",IFERROR(SUMIFS(nrES_Rec,nrES_PID,$B52,nrES_Code,K$5,nrES_Final,"Yes"),""))</f>
        <v/>
      </c>
      <c r="L52" s="17">
        <f>IF(OR($B52="",L$5=""),"",IFERROR(SUMIFS(nrES_Rec,nrES_PID,$B52,nrES_Code,L$5,nrES_Final,"Yes"),""))</f>
        <v/>
      </c>
      <c r="M52" s="17">
        <f>IF(OR($B52="",M$5=""),"",IFERROR(SUMIFS(nrES_Rec,nrES_PID,$B52,nrES_Code,M$5,nrES_Final,"Yes"),""))</f>
        <v/>
      </c>
      <c r="N52" s="17">
        <f>IF(OR($B52="",N$5=""),"",IFERROR(SUMIFS(nrES_Rec,nrES_PID,$B52,nrES_Code,N$5,nrES_Final,"Yes"),""))</f>
        <v/>
      </c>
      <c r="O52" s="17">
        <f>IF(OR($B52="",O$5=""),"",IFERROR(SUMIFS(nrES_Rec,nrES_PID,$B52,nrES_Code,O$5,nrES_Final,"Yes"),""))</f>
        <v/>
      </c>
      <c r="P52" s="17">
        <f>IF(OR($B52="",P$5=""),"",IFERROR(SUMIFS(nrES_Rec,nrES_PID,$B52,nrES_Code,P$5,nrES_Final,"Yes"),""))</f>
        <v/>
      </c>
      <c r="Q52" s="17">
        <f>IF(OR($B52="",Q$5=""),"",IFERROR(SUMIFS(nrES_Rec,nrES_PID,$B52,nrES_Code,Q$5,nrES_Final,"Yes"),""))</f>
        <v/>
      </c>
      <c r="R52" s="17">
        <f>IF(OR($B52="",R$5=""),"",IFERROR(SUMIFS(nrES_Rec,nrES_PID,$B52,nrES_Code,R$5,nrES_Final,"Yes"),""))</f>
        <v/>
      </c>
      <c r="S52" s="17">
        <f>IF(OR($B52="",S$5=""),"",IFERROR(SUMIFS(nrES_Rec,nrES_PID,$B52,nrES_Code,S$5,nrES_Final,"Yes"),""))</f>
        <v/>
      </c>
      <c r="T52" s="17">
        <f>IF(OR($B52="",T$5=""),"",IFERROR(SUMIFS(nrES_Rec,nrES_PID,$B52,nrES_Code,T$5,nrES_Final,"Yes"),""))</f>
        <v/>
      </c>
      <c r="U52" s="17">
        <f>IF(OR($B52="",U$5=""),"",IFERROR(SUMIFS(nrES_Rec,nrES_PID,$B52,nrES_Code,U$5,nrES_Final,"Yes"),""))</f>
        <v/>
      </c>
      <c r="V52" s="17">
        <f>IF(OR($B52="",V$5=""),"",IFERROR(SUMIFS(nrES_Rec,nrES_PID,$B52,nrES_Code,V$5,nrES_Final,"Yes"),""))</f>
        <v/>
      </c>
      <c r="W52" s="17">
        <f>IF(OR($B52="",W$5=""),"",IFERROR(SUMIFS(nrES_Rec,nrES_PID,$B52,nrES_Code,W$5,nrES_Final,"Yes"),""))</f>
        <v/>
      </c>
      <c r="X52" s="17">
        <f>IF(OR($B52="",X$5=""),"",IFERROR(SUMIFS(nrES_Rec,nrES_PID,$B52,nrES_Code,X$5,nrES_Final,"Yes"),""))</f>
        <v/>
      </c>
      <c r="Y52" s="17">
        <f>IF(OR($B52="",Y$5=""),"",IFERROR(SUMIFS(nrES_Rec,nrES_PID,$B52,nrES_Code,Y$5,nrES_Final,"Yes"),""))</f>
        <v/>
      </c>
      <c r="Z52" s="17">
        <f>IF(OR($B52="",Z$5=""),"",IFERROR(SUMIFS(nrES_Rec,nrES_PID,$B52,nrES_Code,Z$5,nrES_Final,"Yes"),""))</f>
        <v/>
      </c>
      <c r="AA52" s="17">
        <f>IF(OR($B52="",AA$5=""),"",IFERROR(SUMIFS(nrES_Rec,nrES_PID,$B52,nrES_Code,AA$5,nrES_Final,"Yes"),""))</f>
        <v/>
      </c>
      <c r="AB52" s="17">
        <f>IF(OR($B52="",AB$5=""),"",IFERROR(SUMIFS(nrES_Rec,nrES_PID,$B52,nrES_Code,AB$5,nrES_Final,"Yes"),""))</f>
        <v/>
      </c>
      <c r="AC52" s="17">
        <f>IF($B52="","",sysGrades!$M52)</f>
        <v/>
      </c>
      <c r="AD52" s="17">
        <f>IF($B52="","",IFERROR(sysGrades!$U52,""))</f>
        <v/>
      </c>
    </row>
    <row r="53">
      <c r="B53" s="17">
        <f>IF(Cadets!$B53="","",Cadets!$B53)</f>
        <v/>
      </c>
      <c r="C53" s="17">
        <f>IF($B53="","",Cadets!$F53)</f>
        <v/>
      </c>
      <c r="D53" s="17">
        <f>IF(OR($B53="",D$5=""),"",IFERROR(SUMIFS(nrES_Rec,nrES_PID,$B53,nrES_Code,D$5,nrES_Final,"Yes"),""))</f>
        <v/>
      </c>
      <c r="E53" s="17">
        <f>IF(OR($B53="",E$5=""),"",IFERROR(SUMIFS(nrES_Rec,nrES_PID,$B53,nrES_Code,E$5,nrES_Final,"Yes"),""))</f>
        <v/>
      </c>
      <c r="F53" s="17">
        <f>IF(OR($B53="",F$5=""),"",IFERROR(SUMIFS(nrES_Rec,nrES_PID,$B53,nrES_Code,F$5,nrES_Final,"Yes"),""))</f>
        <v/>
      </c>
      <c r="G53" s="17">
        <f>IF(OR($B53="",G$5=""),"",IFERROR(SUMIFS(nrES_Rec,nrES_PID,$B53,nrES_Code,G$5,nrES_Final,"Yes"),""))</f>
        <v/>
      </c>
      <c r="H53" s="17">
        <f>IF(OR($B53="",H$5=""),"",IFERROR(SUMIFS(nrES_Rec,nrES_PID,$B53,nrES_Code,H$5,nrES_Final,"Yes"),""))</f>
        <v/>
      </c>
      <c r="I53" s="17">
        <f>IF(OR($B53="",I$5=""),"",IFERROR(SUMIFS(nrES_Rec,nrES_PID,$B53,nrES_Code,I$5,nrES_Final,"Yes"),""))</f>
        <v/>
      </c>
      <c r="J53" s="17">
        <f>IF(OR($B53="",J$5=""),"",IFERROR(SUMIFS(nrES_Rec,nrES_PID,$B53,nrES_Code,J$5,nrES_Final,"Yes"),""))</f>
        <v/>
      </c>
      <c r="K53" s="17">
        <f>IF(OR($B53="",K$5=""),"",IFERROR(SUMIFS(nrES_Rec,nrES_PID,$B53,nrES_Code,K$5,nrES_Final,"Yes"),""))</f>
        <v/>
      </c>
      <c r="L53" s="17">
        <f>IF(OR($B53="",L$5=""),"",IFERROR(SUMIFS(nrES_Rec,nrES_PID,$B53,nrES_Code,L$5,nrES_Final,"Yes"),""))</f>
        <v/>
      </c>
      <c r="M53" s="17">
        <f>IF(OR($B53="",M$5=""),"",IFERROR(SUMIFS(nrES_Rec,nrES_PID,$B53,nrES_Code,M$5,nrES_Final,"Yes"),""))</f>
        <v/>
      </c>
      <c r="N53" s="17">
        <f>IF(OR($B53="",N$5=""),"",IFERROR(SUMIFS(nrES_Rec,nrES_PID,$B53,nrES_Code,N$5,nrES_Final,"Yes"),""))</f>
        <v/>
      </c>
      <c r="O53" s="17">
        <f>IF(OR($B53="",O$5=""),"",IFERROR(SUMIFS(nrES_Rec,nrES_PID,$B53,nrES_Code,O$5,nrES_Final,"Yes"),""))</f>
        <v/>
      </c>
      <c r="P53" s="17">
        <f>IF(OR($B53="",P$5=""),"",IFERROR(SUMIFS(nrES_Rec,nrES_PID,$B53,nrES_Code,P$5,nrES_Final,"Yes"),""))</f>
        <v/>
      </c>
      <c r="Q53" s="17">
        <f>IF(OR($B53="",Q$5=""),"",IFERROR(SUMIFS(nrES_Rec,nrES_PID,$B53,nrES_Code,Q$5,nrES_Final,"Yes"),""))</f>
        <v/>
      </c>
      <c r="R53" s="17">
        <f>IF(OR($B53="",R$5=""),"",IFERROR(SUMIFS(nrES_Rec,nrES_PID,$B53,nrES_Code,R$5,nrES_Final,"Yes"),""))</f>
        <v/>
      </c>
      <c r="S53" s="17">
        <f>IF(OR($B53="",S$5=""),"",IFERROR(SUMIFS(nrES_Rec,nrES_PID,$B53,nrES_Code,S$5,nrES_Final,"Yes"),""))</f>
        <v/>
      </c>
      <c r="T53" s="17">
        <f>IF(OR($B53="",T$5=""),"",IFERROR(SUMIFS(nrES_Rec,nrES_PID,$B53,nrES_Code,T$5,nrES_Final,"Yes"),""))</f>
        <v/>
      </c>
      <c r="U53" s="17">
        <f>IF(OR($B53="",U$5=""),"",IFERROR(SUMIFS(nrES_Rec,nrES_PID,$B53,nrES_Code,U$5,nrES_Final,"Yes"),""))</f>
        <v/>
      </c>
      <c r="V53" s="17">
        <f>IF(OR($B53="",V$5=""),"",IFERROR(SUMIFS(nrES_Rec,nrES_PID,$B53,nrES_Code,V$5,nrES_Final,"Yes"),""))</f>
        <v/>
      </c>
      <c r="W53" s="17">
        <f>IF(OR($B53="",W$5=""),"",IFERROR(SUMIFS(nrES_Rec,nrES_PID,$B53,nrES_Code,W$5,nrES_Final,"Yes"),""))</f>
        <v/>
      </c>
      <c r="X53" s="17">
        <f>IF(OR($B53="",X$5=""),"",IFERROR(SUMIFS(nrES_Rec,nrES_PID,$B53,nrES_Code,X$5,nrES_Final,"Yes"),""))</f>
        <v/>
      </c>
      <c r="Y53" s="17">
        <f>IF(OR($B53="",Y$5=""),"",IFERROR(SUMIFS(nrES_Rec,nrES_PID,$B53,nrES_Code,Y$5,nrES_Final,"Yes"),""))</f>
        <v/>
      </c>
      <c r="Z53" s="17">
        <f>IF(OR($B53="",Z$5=""),"",IFERROR(SUMIFS(nrES_Rec,nrES_PID,$B53,nrES_Code,Z$5,nrES_Final,"Yes"),""))</f>
        <v/>
      </c>
      <c r="AA53" s="17">
        <f>IF(OR($B53="",AA$5=""),"",IFERROR(SUMIFS(nrES_Rec,nrES_PID,$B53,nrES_Code,AA$5,nrES_Final,"Yes"),""))</f>
        <v/>
      </c>
      <c r="AB53" s="17">
        <f>IF(OR($B53="",AB$5=""),"",IFERROR(SUMIFS(nrES_Rec,nrES_PID,$B53,nrES_Code,AB$5,nrES_Final,"Yes"),""))</f>
        <v/>
      </c>
      <c r="AC53" s="17">
        <f>IF($B53="","",sysGrades!$M53)</f>
        <v/>
      </c>
      <c r="AD53" s="17">
        <f>IF($B53="","",IFERROR(sysGrades!$U53,""))</f>
        <v/>
      </c>
    </row>
    <row r="54">
      <c r="B54" s="17">
        <f>IF(Cadets!$B54="","",Cadets!$B54)</f>
        <v/>
      </c>
      <c r="C54" s="17">
        <f>IF($B54="","",Cadets!$F54)</f>
        <v/>
      </c>
      <c r="D54" s="17">
        <f>IF(OR($B54="",D$5=""),"",IFERROR(SUMIFS(nrES_Rec,nrES_PID,$B54,nrES_Code,D$5,nrES_Final,"Yes"),""))</f>
        <v/>
      </c>
      <c r="E54" s="17">
        <f>IF(OR($B54="",E$5=""),"",IFERROR(SUMIFS(nrES_Rec,nrES_PID,$B54,nrES_Code,E$5,nrES_Final,"Yes"),""))</f>
        <v/>
      </c>
      <c r="F54" s="17">
        <f>IF(OR($B54="",F$5=""),"",IFERROR(SUMIFS(nrES_Rec,nrES_PID,$B54,nrES_Code,F$5,nrES_Final,"Yes"),""))</f>
        <v/>
      </c>
      <c r="G54" s="17">
        <f>IF(OR($B54="",G$5=""),"",IFERROR(SUMIFS(nrES_Rec,nrES_PID,$B54,nrES_Code,G$5,nrES_Final,"Yes"),""))</f>
        <v/>
      </c>
      <c r="H54" s="17">
        <f>IF(OR($B54="",H$5=""),"",IFERROR(SUMIFS(nrES_Rec,nrES_PID,$B54,nrES_Code,H$5,nrES_Final,"Yes"),""))</f>
        <v/>
      </c>
      <c r="I54" s="17">
        <f>IF(OR($B54="",I$5=""),"",IFERROR(SUMIFS(nrES_Rec,nrES_PID,$B54,nrES_Code,I$5,nrES_Final,"Yes"),""))</f>
        <v/>
      </c>
      <c r="J54" s="17">
        <f>IF(OR($B54="",J$5=""),"",IFERROR(SUMIFS(nrES_Rec,nrES_PID,$B54,nrES_Code,J$5,nrES_Final,"Yes"),""))</f>
        <v/>
      </c>
      <c r="K54" s="17">
        <f>IF(OR($B54="",K$5=""),"",IFERROR(SUMIFS(nrES_Rec,nrES_PID,$B54,nrES_Code,K$5,nrES_Final,"Yes"),""))</f>
        <v/>
      </c>
      <c r="L54" s="17">
        <f>IF(OR($B54="",L$5=""),"",IFERROR(SUMIFS(nrES_Rec,nrES_PID,$B54,nrES_Code,L$5,nrES_Final,"Yes"),""))</f>
        <v/>
      </c>
      <c r="M54" s="17">
        <f>IF(OR($B54="",M$5=""),"",IFERROR(SUMIFS(nrES_Rec,nrES_PID,$B54,nrES_Code,M$5,nrES_Final,"Yes"),""))</f>
        <v/>
      </c>
      <c r="N54" s="17">
        <f>IF(OR($B54="",N$5=""),"",IFERROR(SUMIFS(nrES_Rec,nrES_PID,$B54,nrES_Code,N$5,nrES_Final,"Yes"),""))</f>
        <v/>
      </c>
      <c r="O54" s="17">
        <f>IF(OR($B54="",O$5=""),"",IFERROR(SUMIFS(nrES_Rec,nrES_PID,$B54,nrES_Code,O$5,nrES_Final,"Yes"),""))</f>
        <v/>
      </c>
      <c r="P54" s="17">
        <f>IF(OR($B54="",P$5=""),"",IFERROR(SUMIFS(nrES_Rec,nrES_PID,$B54,nrES_Code,P$5,nrES_Final,"Yes"),""))</f>
        <v/>
      </c>
      <c r="Q54" s="17">
        <f>IF(OR($B54="",Q$5=""),"",IFERROR(SUMIFS(nrES_Rec,nrES_PID,$B54,nrES_Code,Q$5,nrES_Final,"Yes"),""))</f>
        <v/>
      </c>
      <c r="R54" s="17">
        <f>IF(OR($B54="",R$5=""),"",IFERROR(SUMIFS(nrES_Rec,nrES_PID,$B54,nrES_Code,R$5,nrES_Final,"Yes"),""))</f>
        <v/>
      </c>
      <c r="S54" s="17">
        <f>IF(OR($B54="",S$5=""),"",IFERROR(SUMIFS(nrES_Rec,nrES_PID,$B54,nrES_Code,S$5,nrES_Final,"Yes"),""))</f>
        <v/>
      </c>
      <c r="T54" s="17">
        <f>IF(OR($B54="",T$5=""),"",IFERROR(SUMIFS(nrES_Rec,nrES_PID,$B54,nrES_Code,T$5,nrES_Final,"Yes"),""))</f>
        <v/>
      </c>
      <c r="U54" s="17">
        <f>IF(OR($B54="",U$5=""),"",IFERROR(SUMIFS(nrES_Rec,nrES_PID,$B54,nrES_Code,U$5,nrES_Final,"Yes"),""))</f>
        <v/>
      </c>
      <c r="V54" s="17">
        <f>IF(OR($B54="",V$5=""),"",IFERROR(SUMIFS(nrES_Rec,nrES_PID,$B54,nrES_Code,V$5,nrES_Final,"Yes"),""))</f>
        <v/>
      </c>
      <c r="W54" s="17">
        <f>IF(OR($B54="",W$5=""),"",IFERROR(SUMIFS(nrES_Rec,nrES_PID,$B54,nrES_Code,W$5,nrES_Final,"Yes"),""))</f>
        <v/>
      </c>
      <c r="X54" s="17">
        <f>IF(OR($B54="",X$5=""),"",IFERROR(SUMIFS(nrES_Rec,nrES_PID,$B54,nrES_Code,X$5,nrES_Final,"Yes"),""))</f>
        <v/>
      </c>
      <c r="Y54" s="17">
        <f>IF(OR($B54="",Y$5=""),"",IFERROR(SUMIFS(nrES_Rec,nrES_PID,$B54,nrES_Code,Y$5,nrES_Final,"Yes"),""))</f>
        <v/>
      </c>
      <c r="Z54" s="17">
        <f>IF(OR($B54="",Z$5=""),"",IFERROR(SUMIFS(nrES_Rec,nrES_PID,$B54,nrES_Code,Z$5,nrES_Final,"Yes"),""))</f>
        <v/>
      </c>
      <c r="AA54" s="17">
        <f>IF(OR($B54="",AA$5=""),"",IFERROR(SUMIFS(nrES_Rec,nrES_PID,$B54,nrES_Code,AA$5,nrES_Final,"Yes"),""))</f>
        <v/>
      </c>
      <c r="AB54" s="17">
        <f>IF(OR($B54="",AB$5=""),"",IFERROR(SUMIFS(nrES_Rec,nrES_PID,$B54,nrES_Code,AB$5,nrES_Final,"Yes"),""))</f>
        <v/>
      </c>
      <c r="AC54" s="17">
        <f>IF($B54="","",sysGrades!$M54)</f>
        <v/>
      </c>
      <c r="AD54" s="17">
        <f>IF($B54="","",IFERROR(sysGrades!$U54,""))</f>
        <v/>
      </c>
    </row>
    <row r="55">
      <c r="B55" s="17">
        <f>IF(Cadets!$B55="","",Cadets!$B55)</f>
        <v/>
      </c>
      <c r="C55" s="17">
        <f>IF($B55="","",Cadets!$F55)</f>
        <v/>
      </c>
      <c r="D55" s="17">
        <f>IF(OR($B55="",D$5=""),"",IFERROR(SUMIFS(nrES_Rec,nrES_PID,$B55,nrES_Code,D$5,nrES_Final,"Yes"),""))</f>
        <v/>
      </c>
      <c r="E55" s="17">
        <f>IF(OR($B55="",E$5=""),"",IFERROR(SUMIFS(nrES_Rec,nrES_PID,$B55,nrES_Code,E$5,nrES_Final,"Yes"),""))</f>
        <v/>
      </c>
      <c r="F55" s="17">
        <f>IF(OR($B55="",F$5=""),"",IFERROR(SUMIFS(nrES_Rec,nrES_PID,$B55,nrES_Code,F$5,nrES_Final,"Yes"),""))</f>
        <v/>
      </c>
      <c r="G55" s="17">
        <f>IF(OR($B55="",G$5=""),"",IFERROR(SUMIFS(nrES_Rec,nrES_PID,$B55,nrES_Code,G$5,nrES_Final,"Yes"),""))</f>
        <v/>
      </c>
      <c r="H55" s="17">
        <f>IF(OR($B55="",H$5=""),"",IFERROR(SUMIFS(nrES_Rec,nrES_PID,$B55,nrES_Code,H$5,nrES_Final,"Yes"),""))</f>
        <v/>
      </c>
      <c r="I55" s="17">
        <f>IF(OR($B55="",I$5=""),"",IFERROR(SUMIFS(nrES_Rec,nrES_PID,$B55,nrES_Code,I$5,nrES_Final,"Yes"),""))</f>
        <v/>
      </c>
      <c r="J55" s="17">
        <f>IF(OR($B55="",J$5=""),"",IFERROR(SUMIFS(nrES_Rec,nrES_PID,$B55,nrES_Code,J$5,nrES_Final,"Yes"),""))</f>
        <v/>
      </c>
      <c r="K55" s="17">
        <f>IF(OR($B55="",K$5=""),"",IFERROR(SUMIFS(nrES_Rec,nrES_PID,$B55,nrES_Code,K$5,nrES_Final,"Yes"),""))</f>
        <v/>
      </c>
      <c r="L55" s="17">
        <f>IF(OR($B55="",L$5=""),"",IFERROR(SUMIFS(nrES_Rec,nrES_PID,$B55,nrES_Code,L$5,nrES_Final,"Yes"),""))</f>
        <v/>
      </c>
      <c r="M55" s="17">
        <f>IF(OR($B55="",M$5=""),"",IFERROR(SUMIFS(nrES_Rec,nrES_PID,$B55,nrES_Code,M$5,nrES_Final,"Yes"),""))</f>
        <v/>
      </c>
      <c r="N55" s="17">
        <f>IF(OR($B55="",N$5=""),"",IFERROR(SUMIFS(nrES_Rec,nrES_PID,$B55,nrES_Code,N$5,nrES_Final,"Yes"),""))</f>
        <v/>
      </c>
      <c r="O55" s="17">
        <f>IF(OR($B55="",O$5=""),"",IFERROR(SUMIFS(nrES_Rec,nrES_PID,$B55,nrES_Code,O$5,nrES_Final,"Yes"),""))</f>
        <v/>
      </c>
      <c r="P55" s="17">
        <f>IF(OR($B55="",P$5=""),"",IFERROR(SUMIFS(nrES_Rec,nrES_PID,$B55,nrES_Code,P$5,nrES_Final,"Yes"),""))</f>
        <v/>
      </c>
      <c r="Q55" s="17">
        <f>IF(OR($B55="",Q$5=""),"",IFERROR(SUMIFS(nrES_Rec,nrES_PID,$B55,nrES_Code,Q$5,nrES_Final,"Yes"),""))</f>
        <v/>
      </c>
      <c r="R55" s="17">
        <f>IF(OR($B55="",R$5=""),"",IFERROR(SUMIFS(nrES_Rec,nrES_PID,$B55,nrES_Code,R$5,nrES_Final,"Yes"),""))</f>
        <v/>
      </c>
      <c r="S55" s="17">
        <f>IF(OR($B55="",S$5=""),"",IFERROR(SUMIFS(nrES_Rec,nrES_PID,$B55,nrES_Code,S$5,nrES_Final,"Yes"),""))</f>
        <v/>
      </c>
      <c r="T55" s="17">
        <f>IF(OR($B55="",T$5=""),"",IFERROR(SUMIFS(nrES_Rec,nrES_PID,$B55,nrES_Code,T$5,nrES_Final,"Yes"),""))</f>
        <v/>
      </c>
      <c r="U55" s="17">
        <f>IF(OR($B55="",U$5=""),"",IFERROR(SUMIFS(nrES_Rec,nrES_PID,$B55,nrES_Code,U$5,nrES_Final,"Yes"),""))</f>
        <v/>
      </c>
      <c r="V55" s="17">
        <f>IF(OR($B55="",V$5=""),"",IFERROR(SUMIFS(nrES_Rec,nrES_PID,$B55,nrES_Code,V$5,nrES_Final,"Yes"),""))</f>
        <v/>
      </c>
      <c r="W55" s="17">
        <f>IF(OR($B55="",W$5=""),"",IFERROR(SUMIFS(nrES_Rec,nrES_PID,$B55,nrES_Code,W$5,nrES_Final,"Yes"),""))</f>
        <v/>
      </c>
      <c r="X55" s="17">
        <f>IF(OR($B55="",X$5=""),"",IFERROR(SUMIFS(nrES_Rec,nrES_PID,$B55,nrES_Code,X$5,nrES_Final,"Yes"),""))</f>
        <v/>
      </c>
      <c r="Y55" s="17">
        <f>IF(OR($B55="",Y$5=""),"",IFERROR(SUMIFS(nrES_Rec,nrES_PID,$B55,nrES_Code,Y$5,nrES_Final,"Yes"),""))</f>
        <v/>
      </c>
      <c r="Z55" s="17">
        <f>IF(OR($B55="",Z$5=""),"",IFERROR(SUMIFS(nrES_Rec,nrES_PID,$B55,nrES_Code,Z$5,nrES_Final,"Yes"),""))</f>
        <v/>
      </c>
      <c r="AA55" s="17">
        <f>IF(OR($B55="",AA$5=""),"",IFERROR(SUMIFS(nrES_Rec,nrES_PID,$B55,nrES_Code,AA$5,nrES_Final,"Yes"),""))</f>
        <v/>
      </c>
      <c r="AB55" s="17">
        <f>IF(OR($B55="",AB$5=""),"",IFERROR(SUMIFS(nrES_Rec,nrES_PID,$B55,nrES_Code,AB$5,nrES_Final,"Yes"),""))</f>
        <v/>
      </c>
      <c r="AC55" s="17">
        <f>IF($B55="","",sysGrades!$M55)</f>
        <v/>
      </c>
      <c r="AD55" s="17">
        <f>IF($B55="","",IFERROR(sysGrades!$U55,""))</f>
        <v/>
      </c>
    </row>
    <row r="56"/>
    <row r="57">
      <c r="C57" s="3" t="inlineStr">
        <is>
          <t>Class average:</t>
        </is>
      </c>
      <c r="D57" s="20">
        <f>IF(D5="","",IFERROR(ROUND(AVERAGEIF(D6:D55,"&lt;&gt;"),1),""))</f>
        <v/>
      </c>
      <c r="E57" s="20">
        <f>IF(E5="","",IFERROR(ROUND(AVERAGEIF(E6:E55,"&lt;&gt;"),1),""))</f>
        <v/>
      </c>
      <c r="F57" s="20">
        <f>IF(F5="","",IFERROR(ROUND(AVERAGEIF(F6:F55,"&lt;&gt;"),1),""))</f>
        <v/>
      </c>
      <c r="G57" s="20">
        <f>IF(G5="","",IFERROR(ROUND(AVERAGEIF(G6:G55,"&lt;&gt;"),1),""))</f>
        <v/>
      </c>
      <c r="H57" s="20">
        <f>IF(H5="","",IFERROR(ROUND(AVERAGEIF(H6:H55,"&lt;&gt;"),1),""))</f>
        <v/>
      </c>
      <c r="I57" s="20">
        <f>IF(I5="","",IFERROR(ROUND(AVERAGEIF(I6:I55,"&lt;&gt;"),1),""))</f>
        <v/>
      </c>
      <c r="J57" s="20">
        <f>IF(J5="","",IFERROR(ROUND(AVERAGEIF(J6:J55,"&lt;&gt;"),1),""))</f>
        <v/>
      </c>
      <c r="K57" s="20">
        <f>IF(K5="","",IFERROR(ROUND(AVERAGEIF(K6:K55,"&lt;&gt;"),1),""))</f>
        <v/>
      </c>
      <c r="L57" s="20">
        <f>IF(L5="","",IFERROR(ROUND(AVERAGEIF(L6:L55,"&lt;&gt;"),1),""))</f>
        <v/>
      </c>
      <c r="M57" s="20">
        <f>IF(M5="","",IFERROR(ROUND(AVERAGEIF(M6:M55,"&lt;&gt;"),1),""))</f>
        <v/>
      </c>
      <c r="N57" s="20">
        <f>IF(N5="","",IFERROR(ROUND(AVERAGEIF(N6:N55,"&lt;&gt;"),1),""))</f>
        <v/>
      </c>
      <c r="O57" s="20">
        <f>IF(O5="","",IFERROR(ROUND(AVERAGEIF(O6:O55,"&lt;&gt;"),1),""))</f>
        <v/>
      </c>
      <c r="P57" s="20">
        <f>IF(P5="","",IFERROR(ROUND(AVERAGEIF(P6:P55,"&lt;&gt;"),1),""))</f>
        <v/>
      </c>
      <c r="Q57" s="20">
        <f>IF(Q5="","",IFERROR(ROUND(AVERAGEIF(Q6:Q55,"&lt;&gt;"),1),""))</f>
        <v/>
      </c>
      <c r="R57" s="20">
        <f>IF(R5="","",IFERROR(ROUND(AVERAGEIF(R6:R55,"&lt;&gt;"),1),""))</f>
        <v/>
      </c>
      <c r="S57" s="20">
        <f>IF(S5="","",IFERROR(ROUND(AVERAGEIF(S6:S55,"&lt;&gt;"),1),""))</f>
        <v/>
      </c>
      <c r="T57" s="20">
        <f>IF(T5="","",IFERROR(ROUND(AVERAGEIF(T6:T55,"&lt;&gt;"),1),""))</f>
        <v/>
      </c>
      <c r="U57" s="20">
        <f>IF(U5="","",IFERROR(ROUND(AVERAGEIF(U6:U55,"&lt;&gt;"),1),""))</f>
        <v/>
      </c>
      <c r="V57" s="20">
        <f>IF(V5="","",IFERROR(ROUND(AVERAGEIF(V6:V55,"&lt;&gt;"),1),""))</f>
        <v/>
      </c>
      <c r="W57" s="20">
        <f>IF(W5="","",IFERROR(ROUND(AVERAGEIF(W6:W55,"&lt;&gt;"),1),""))</f>
        <v/>
      </c>
      <c r="X57" s="20">
        <f>IF(X5="","",IFERROR(ROUND(AVERAGEIF(X6:X55,"&lt;&gt;"),1),""))</f>
        <v/>
      </c>
      <c r="Y57" s="20">
        <f>IF(Y5="","",IFERROR(ROUND(AVERAGEIF(Y6:Y55,"&lt;&gt;"),1),""))</f>
        <v/>
      </c>
      <c r="Z57" s="20">
        <f>IF(Z5="","",IFERROR(ROUND(AVERAGEIF(Z6:Z55,"&lt;&gt;"),1),""))</f>
        <v/>
      </c>
      <c r="AA57" s="20">
        <f>IF(AA5="","",IFERROR(ROUND(AVERAGEIF(AA6:AA55,"&lt;&gt;"),1),""))</f>
        <v/>
      </c>
      <c r="AB57" s="20">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0.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J61"/>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3" t="n"/>
      <c r="D5" s="24" t="n"/>
      <c r="E5" s="25" t="n"/>
      <c r="G5" s="2">
        <f>cfgAcademyClass&amp;" — Cadet Profile — "&amp;TEXT(TODAY(),"mm/dd/yyyy")</f>
        <v/>
      </c>
    </row>
    <row r="6"/>
    <row r="7" ht="16" customHeight="1">
      <c r="B7" s="9"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9"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9"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9"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9"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9"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sheetData>
  <sheetProtection selectLockedCells="1" selectUnlockedCells="1" sheet="1" objects="0" insertRows="1" insertHyperlinks="1" autoFilter="1" scenarios="0" formatColumns="1" deleteColumns="1" insertColumns="1" pivotTables="1" deleteRows="1" formatCells="1" formatRows="1" sort="1" password="B4BB"/>
  <mergeCells count="34">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3" t="n"/>
      <c r="D5" s="24" t="n"/>
      <c r="E5" s="25"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9"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9"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9"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I9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9"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row r="24" ht="16" customHeight="1">
      <c r="B24" s="9" t="inlineStr">
        <is>
          <t>Requirement sources — what is TCOLE rule vs Academy policy</t>
        </is>
      </c>
      <c r="C24" s="8" t="n"/>
      <c r="D24" s="8" t="n"/>
      <c r="E24" s="8" t="n"/>
      <c r="F24" s="8" t="n"/>
      <c r="G24" s="8" t="n"/>
      <c r="H24" s="8" t="n"/>
    </row>
    <row r="25" ht="26" customHeight="1">
      <c r="B25" s="15" t="inlineStr">
        <is>
          <t>• TCOLE Rule (Ch. 215/218/219): course #1000736 minimum hours per chapter, licensed/SME instructors, course records retention, exam security, student enrollment standards (L2/L3, medical), attendance records.</t>
        </is>
      </c>
    </row>
    <row r="26" ht="26" customHeight="1">
      <c r="B26" s="15" t="inlineStr">
        <is>
          <t>• Academy Policy (May 2026 manual): weighted grading (40/30/10/20), 70-in-each-category rule, weekly spelling tests + 75% intervention, 40 writing assignments, PT program and caps, awards.</t>
        </is>
      </c>
    </row>
    <row r="27"/>
    <row r="28" ht="16" customHeight="1">
      <c r="B28" s="9" t="inlineStr">
        <is>
          <t>Program-level TCOLE requirements (mark Yes when satisfied)</t>
        </is>
      </c>
      <c r="C28" s="8" t="n"/>
      <c r="D28" s="8" t="n"/>
      <c r="E28" s="8" t="n"/>
      <c r="F28" s="8" t="n"/>
      <c r="G28" s="8" t="n"/>
      <c r="H28" s="8" t="n"/>
    </row>
    <row r="29" ht="26" customHeight="1">
      <c r="B29" s="12" t="inlineStr">
        <is>
          <t>Requirement</t>
        </is>
      </c>
      <c r="C29" s="26" t="n"/>
      <c r="D29" s="26" t="n"/>
      <c r="E29" s="27" t="n"/>
      <c r="F29" s="12" t="inlineStr">
        <is>
          <t>Met?</t>
        </is>
      </c>
      <c r="G29" s="12" t="inlineStr">
        <is>
          <t>Notes</t>
        </is>
      </c>
    </row>
    <row r="30" ht="26" customHeight="1">
      <c r="B30" s="13" t="inlineStr">
        <is>
          <t>Commission Rules distributed to all students (Rule 215.9) — Copies of current TCOLE rules given to every student admitted</t>
        </is>
      </c>
      <c r="F30" s="16" t="n"/>
      <c r="G30" s="16" t="n"/>
    </row>
    <row r="31" ht="26" customHeight="1">
      <c r="B31" s="13" t="inlineStr">
        <is>
          <t>Required rule review conducted (215.9) — Reviewed 211.33, 221.1, 223.1, 223.3, 223.15, 223.17, 223.19 in class</t>
        </is>
      </c>
      <c r="F31" s="16" t="n"/>
      <c r="G31" s="16" t="n"/>
    </row>
    <row r="32" ht="26" customHeight="1">
      <c r="B32" s="13" t="inlineStr">
        <is>
          <t>Approved TCLEDDS roster on file — Required element of the training file</t>
        </is>
      </c>
      <c r="F32" s="16" t="n"/>
      <c r="G32" s="16" t="n"/>
    </row>
    <row r="33" ht="26" customHeight="1">
      <c r="B33" s="13" t="inlineStr">
        <is>
          <t>Course reported at exactly 736 hours — Excess hours reported under Addendum to BPOC (course #101), never inside the 736</t>
        </is>
      </c>
      <c r="F33" s="16" t="n"/>
      <c r="G33" s="16" t="n"/>
    </row>
    <row r="34" ht="26" customHeight="1">
      <c r="B34" s="13" t="inlineStr">
        <is>
          <t>Non-BPOC classes reported separately within 30 days — Any additional classes the academy teaches</t>
        </is>
      </c>
      <c r="F34" s="16" t="n"/>
      <c r="G34" s="16" t="n"/>
    </row>
    <row r="35" ht="26" customHeight="1">
      <c r="B35" s="13" t="inlineStr">
        <is>
          <t>Facility standards met (in-person, scenario/skills adequate) — Classroom supports role-play, defensive tactics, firearms demonstration</t>
        </is>
      </c>
      <c r="F35" s="16" t="n"/>
      <c r="G35" s="16" t="n"/>
    </row>
    <row r="36" ht="26" customHeight="1">
      <c r="B36" s="13" t="inlineStr">
        <is>
          <t>Assessments document mastery of all objectives — Learners are never passed on attendance alone</t>
        </is>
      </c>
      <c r="F36" s="16" t="n"/>
      <c r="G36" s="16" t="n"/>
    </row>
    <row r="37" ht="26" customHeight="1">
      <c r="B37" s="13" t="inlineStr">
        <is>
          <t>State exam plan communicated (250 Q, 70%, 3 attempts max) — Third failure requires enrolling in a new BPOC</t>
        </is>
      </c>
      <c r="F37" s="16" t="n"/>
      <c r="G37" s="16" t="n"/>
    </row>
    <row r="38" ht="26" customHeight="1">
      <c r="B38" s="13" t="inlineStr">
        <is>
          <t>Five-year retention of training records — Auditors sample past courses; files must be producible on request</t>
        </is>
      </c>
      <c r="F38" s="16" t="n"/>
      <c r="G38" s="16" t="n"/>
    </row>
    <row r="39" ht="26" customHeight="1">
      <c r="B39" s="13" t="inlineStr">
        <is>
          <t>Prior academies' FINAL workbooks archived and locatable — One file per academy; know where every finished class's file lives</t>
        </is>
      </c>
      <c r="F39" s="16" t="n"/>
      <c r="G39" s="16" t="n"/>
    </row>
    <row r="40"/>
    <row r="41" ht="16" customHeight="1">
      <c r="B41" s="9" t="inlineStr">
        <is>
          <t>Per-cadet enrollment documents (mark Yes when on file)</t>
        </is>
      </c>
      <c r="C41" s="8" t="n"/>
      <c r="D41" s="8" t="n"/>
      <c r="E41" s="8" t="n"/>
      <c r="F41" s="8" t="n"/>
      <c r="G41" s="8" t="n"/>
      <c r="H41" s="8" t="n"/>
    </row>
    <row r="42" ht="26" customHeight="1">
      <c r="B42" s="12" t="inlineStr">
        <is>
          <t>Cadet</t>
        </is>
      </c>
      <c r="C42" s="12" t="inlineStr">
        <is>
          <t>Enroll App</t>
        </is>
      </c>
      <c r="D42" s="12" t="inlineStr">
        <is>
          <t>TCLEDDS L1</t>
        </is>
      </c>
      <c r="E42" s="12" t="inlineStr">
        <is>
          <t>Medical (L2)</t>
        </is>
      </c>
      <c r="F42" s="12" t="inlineStr">
        <is>
          <t>Psych (L3)</t>
        </is>
      </c>
      <c r="G42" s="12" t="inlineStr">
        <is>
          <t>Background</t>
        </is>
      </c>
      <c r="H42" s="12" t="inlineStr">
        <is>
          <t>Photo ID/DL</t>
        </is>
      </c>
      <c r="I42" s="12" t="inlineStr">
        <is>
          <t>All Docs?</t>
        </is>
      </c>
    </row>
    <row r="43">
      <c r="B43" s="20">
        <f>IF(Cadets!$B6="","",Cadets!$F6)</f>
        <v/>
      </c>
      <c r="C43" s="16" t="n"/>
      <c r="D43" s="16" t="n"/>
      <c r="E43" s="16" t="n"/>
      <c r="F43" s="16" t="n"/>
      <c r="G43" s="16" t="n"/>
      <c r="H43" s="16" t="n"/>
      <c r="I43" s="20">
        <f>IF($B43="","",IF(COUNTIF(C43:H43,"Yes")=6,"Yes","No"))</f>
        <v/>
      </c>
    </row>
    <row r="44">
      <c r="B44" s="20">
        <f>IF(Cadets!$B7="","",Cadets!$F7)</f>
        <v/>
      </c>
      <c r="C44" s="16" t="n"/>
      <c r="D44" s="16" t="n"/>
      <c r="E44" s="16" t="n"/>
      <c r="F44" s="16" t="n"/>
      <c r="G44" s="16" t="n"/>
      <c r="H44" s="16" t="n"/>
      <c r="I44" s="20">
        <f>IF($B44="","",IF(COUNTIF(C44:H44,"Yes")=6,"Yes","No"))</f>
        <v/>
      </c>
    </row>
    <row r="45">
      <c r="B45" s="20">
        <f>IF(Cadets!$B8="","",Cadets!$F8)</f>
        <v/>
      </c>
      <c r="C45" s="16" t="n"/>
      <c r="D45" s="16" t="n"/>
      <c r="E45" s="16" t="n"/>
      <c r="F45" s="16" t="n"/>
      <c r="G45" s="16" t="n"/>
      <c r="H45" s="16" t="n"/>
      <c r="I45" s="20">
        <f>IF($B45="","",IF(COUNTIF(C45:H45,"Yes")=6,"Yes","No"))</f>
        <v/>
      </c>
    </row>
    <row r="46">
      <c r="B46" s="20">
        <f>IF(Cadets!$B9="","",Cadets!$F9)</f>
        <v/>
      </c>
      <c r="C46" s="16" t="n"/>
      <c r="D46" s="16" t="n"/>
      <c r="E46" s="16" t="n"/>
      <c r="F46" s="16" t="n"/>
      <c r="G46" s="16" t="n"/>
      <c r="H46" s="16" t="n"/>
      <c r="I46" s="20">
        <f>IF($B46="","",IF(COUNTIF(C46:H46,"Yes")=6,"Yes","No"))</f>
        <v/>
      </c>
    </row>
    <row r="47">
      <c r="B47" s="20">
        <f>IF(Cadets!$B10="","",Cadets!$F10)</f>
        <v/>
      </c>
      <c r="C47" s="16" t="n"/>
      <c r="D47" s="16" t="n"/>
      <c r="E47" s="16" t="n"/>
      <c r="F47" s="16" t="n"/>
      <c r="G47" s="16" t="n"/>
      <c r="H47" s="16" t="n"/>
      <c r="I47" s="20">
        <f>IF($B47="","",IF(COUNTIF(C47:H47,"Yes")=6,"Yes","No"))</f>
        <v/>
      </c>
    </row>
    <row r="48">
      <c r="B48" s="20">
        <f>IF(Cadets!$B11="","",Cadets!$F11)</f>
        <v/>
      </c>
      <c r="C48" s="16" t="n"/>
      <c r="D48" s="16" t="n"/>
      <c r="E48" s="16" t="n"/>
      <c r="F48" s="16" t="n"/>
      <c r="G48" s="16" t="n"/>
      <c r="H48" s="16" t="n"/>
      <c r="I48" s="20">
        <f>IF($B48="","",IF(COUNTIF(C48:H48,"Yes")=6,"Yes","No"))</f>
        <v/>
      </c>
    </row>
    <row r="49">
      <c r="B49" s="20">
        <f>IF(Cadets!$B12="","",Cadets!$F12)</f>
        <v/>
      </c>
      <c r="C49" s="16" t="n"/>
      <c r="D49" s="16" t="n"/>
      <c r="E49" s="16" t="n"/>
      <c r="F49" s="16" t="n"/>
      <c r="G49" s="16" t="n"/>
      <c r="H49" s="16" t="n"/>
      <c r="I49" s="20">
        <f>IF($B49="","",IF(COUNTIF(C49:H49,"Yes")=6,"Yes","No"))</f>
        <v/>
      </c>
    </row>
    <row r="50">
      <c r="B50" s="20">
        <f>IF(Cadets!$B13="","",Cadets!$F13)</f>
        <v/>
      </c>
      <c r="C50" s="16" t="n"/>
      <c r="D50" s="16" t="n"/>
      <c r="E50" s="16" t="n"/>
      <c r="F50" s="16" t="n"/>
      <c r="G50" s="16" t="n"/>
      <c r="H50" s="16" t="n"/>
      <c r="I50" s="20">
        <f>IF($B50="","",IF(COUNTIF(C50:H50,"Yes")=6,"Yes","No"))</f>
        <v/>
      </c>
    </row>
    <row r="51">
      <c r="B51" s="20">
        <f>IF(Cadets!$B14="","",Cadets!$F14)</f>
        <v/>
      </c>
      <c r="C51" s="16" t="n"/>
      <c r="D51" s="16" t="n"/>
      <c r="E51" s="16" t="n"/>
      <c r="F51" s="16" t="n"/>
      <c r="G51" s="16" t="n"/>
      <c r="H51" s="16" t="n"/>
      <c r="I51" s="20">
        <f>IF($B51="","",IF(COUNTIF(C51:H51,"Yes")=6,"Yes","No"))</f>
        <v/>
      </c>
    </row>
    <row r="52">
      <c r="B52" s="20">
        <f>IF(Cadets!$B15="","",Cadets!$F15)</f>
        <v/>
      </c>
      <c r="C52" s="16" t="n"/>
      <c r="D52" s="16" t="n"/>
      <c r="E52" s="16" t="n"/>
      <c r="F52" s="16" t="n"/>
      <c r="G52" s="16" t="n"/>
      <c r="H52" s="16" t="n"/>
      <c r="I52" s="20">
        <f>IF($B52="","",IF(COUNTIF(C52:H52,"Yes")=6,"Yes","No"))</f>
        <v/>
      </c>
    </row>
    <row r="53">
      <c r="B53" s="20">
        <f>IF(Cadets!$B16="","",Cadets!$F16)</f>
        <v/>
      </c>
      <c r="C53" s="16" t="n"/>
      <c r="D53" s="16" t="n"/>
      <c r="E53" s="16" t="n"/>
      <c r="F53" s="16" t="n"/>
      <c r="G53" s="16" t="n"/>
      <c r="H53" s="16" t="n"/>
      <c r="I53" s="20">
        <f>IF($B53="","",IF(COUNTIF(C53:H53,"Yes")=6,"Yes","No"))</f>
        <v/>
      </c>
    </row>
    <row r="54">
      <c r="B54" s="20">
        <f>IF(Cadets!$B17="","",Cadets!$F17)</f>
        <v/>
      </c>
      <c r="C54" s="16" t="n"/>
      <c r="D54" s="16" t="n"/>
      <c r="E54" s="16" t="n"/>
      <c r="F54" s="16" t="n"/>
      <c r="G54" s="16" t="n"/>
      <c r="H54" s="16" t="n"/>
      <c r="I54" s="20">
        <f>IF($B54="","",IF(COUNTIF(C54:H54,"Yes")=6,"Yes","No"))</f>
        <v/>
      </c>
    </row>
    <row r="55">
      <c r="B55" s="20">
        <f>IF(Cadets!$B18="","",Cadets!$F18)</f>
        <v/>
      </c>
      <c r="C55" s="16" t="n"/>
      <c r="D55" s="16" t="n"/>
      <c r="E55" s="16" t="n"/>
      <c r="F55" s="16" t="n"/>
      <c r="G55" s="16" t="n"/>
      <c r="H55" s="16" t="n"/>
      <c r="I55" s="20">
        <f>IF($B55="","",IF(COUNTIF(C55:H55,"Yes")=6,"Yes","No"))</f>
        <v/>
      </c>
    </row>
    <row r="56">
      <c r="B56" s="20">
        <f>IF(Cadets!$B19="","",Cadets!$F19)</f>
        <v/>
      </c>
      <c r="C56" s="16" t="n"/>
      <c r="D56" s="16" t="n"/>
      <c r="E56" s="16" t="n"/>
      <c r="F56" s="16" t="n"/>
      <c r="G56" s="16" t="n"/>
      <c r="H56" s="16" t="n"/>
      <c r="I56" s="20">
        <f>IF($B56="","",IF(COUNTIF(C56:H56,"Yes")=6,"Yes","No"))</f>
        <v/>
      </c>
    </row>
    <row r="57">
      <c r="B57" s="20">
        <f>IF(Cadets!$B20="","",Cadets!$F20)</f>
        <v/>
      </c>
      <c r="C57" s="16" t="n"/>
      <c r="D57" s="16" t="n"/>
      <c r="E57" s="16" t="n"/>
      <c r="F57" s="16" t="n"/>
      <c r="G57" s="16" t="n"/>
      <c r="H57" s="16" t="n"/>
      <c r="I57" s="20">
        <f>IF($B57="","",IF(COUNTIF(C57:H57,"Yes")=6,"Yes","No"))</f>
        <v/>
      </c>
    </row>
    <row r="58">
      <c r="B58" s="20">
        <f>IF(Cadets!$B21="","",Cadets!$F21)</f>
        <v/>
      </c>
      <c r="C58" s="16" t="n"/>
      <c r="D58" s="16" t="n"/>
      <c r="E58" s="16" t="n"/>
      <c r="F58" s="16" t="n"/>
      <c r="G58" s="16" t="n"/>
      <c r="H58" s="16" t="n"/>
      <c r="I58" s="20">
        <f>IF($B58="","",IF(COUNTIF(C58:H58,"Yes")=6,"Yes","No"))</f>
        <v/>
      </c>
    </row>
    <row r="59">
      <c r="B59" s="20">
        <f>IF(Cadets!$B22="","",Cadets!$F22)</f>
        <v/>
      </c>
      <c r="C59" s="16" t="n"/>
      <c r="D59" s="16" t="n"/>
      <c r="E59" s="16" t="n"/>
      <c r="F59" s="16" t="n"/>
      <c r="G59" s="16" t="n"/>
      <c r="H59" s="16" t="n"/>
      <c r="I59" s="20">
        <f>IF($B59="","",IF(COUNTIF(C59:H59,"Yes")=6,"Yes","No"))</f>
        <v/>
      </c>
    </row>
    <row r="60">
      <c r="B60" s="20">
        <f>IF(Cadets!$B23="","",Cadets!$F23)</f>
        <v/>
      </c>
      <c r="C60" s="16" t="n"/>
      <c r="D60" s="16" t="n"/>
      <c r="E60" s="16" t="n"/>
      <c r="F60" s="16" t="n"/>
      <c r="G60" s="16" t="n"/>
      <c r="H60" s="16" t="n"/>
      <c r="I60" s="20">
        <f>IF($B60="","",IF(COUNTIF(C60:H60,"Yes")=6,"Yes","No"))</f>
        <v/>
      </c>
    </row>
    <row r="61">
      <c r="B61" s="20">
        <f>IF(Cadets!$B24="","",Cadets!$F24)</f>
        <v/>
      </c>
      <c r="C61" s="16" t="n"/>
      <c r="D61" s="16" t="n"/>
      <c r="E61" s="16" t="n"/>
      <c r="F61" s="16" t="n"/>
      <c r="G61" s="16" t="n"/>
      <c r="H61" s="16" t="n"/>
      <c r="I61" s="20">
        <f>IF($B61="","",IF(COUNTIF(C61:H61,"Yes")=6,"Yes","No"))</f>
        <v/>
      </c>
    </row>
    <row r="62">
      <c r="B62" s="20">
        <f>IF(Cadets!$B25="","",Cadets!$F25)</f>
        <v/>
      </c>
      <c r="C62" s="16" t="n"/>
      <c r="D62" s="16" t="n"/>
      <c r="E62" s="16" t="n"/>
      <c r="F62" s="16" t="n"/>
      <c r="G62" s="16" t="n"/>
      <c r="H62" s="16" t="n"/>
      <c r="I62" s="20">
        <f>IF($B62="","",IF(COUNTIF(C62:H62,"Yes")=6,"Yes","No"))</f>
        <v/>
      </c>
    </row>
    <row r="63">
      <c r="B63" s="20">
        <f>IF(Cadets!$B26="","",Cadets!$F26)</f>
        <v/>
      </c>
      <c r="C63" s="16" t="n"/>
      <c r="D63" s="16" t="n"/>
      <c r="E63" s="16" t="n"/>
      <c r="F63" s="16" t="n"/>
      <c r="G63" s="16" t="n"/>
      <c r="H63" s="16" t="n"/>
      <c r="I63" s="20">
        <f>IF($B63="","",IF(COUNTIF(C63:H63,"Yes")=6,"Yes","No"))</f>
        <v/>
      </c>
    </row>
    <row r="64">
      <c r="B64" s="20">
        <f>IF(Cadets!$B27="","",Cadets!$F27)</f>
        <v/>
      </c>
      <c r="C64" s="16" t="n"/>
      <c r="D64" s="16" t="n"/>
      <c r="E64" s="16" t="n"/>
      <c r="F64" s="16" t="n"/>
      <c r="G64" s="16" t="n"/>
      <c r="H64" s="16" t="n"/>
      <c r="I64" s="20">
        <f>IF($B64="","",IF(COUNTIF(C64:H64,"Yes")=6,"Yes","No"))</f>
        <v/>
      </c>
    </row>
    <row r="65">
      <c r="B65" s="20">
        <f>IF(Cadets!$B28="","",Cadets!$F28)</f>
        <v/>
      </c>
      <c r="C65" s="16" t="n"/>
      <c r="D65" s="16" t="n"/>
      <c r="E65" s="16" t="n"/>
      <c r="F65" s="16" t="n"/>
      <c r="G65" s="16" t="n"/>
      <c r="H65" s="16" t="n"/>
      <c r="I65" s="20">
        <f>IF($B65="","",IF(COUNTIF(C65:H65,"Yes")=6,"Yes","No"))</f>
        <v/>
      </c>
    </row>
    <row r="66">
      <c r="B66" s="20">
        <f>IF(Cadets!$B29="","",Cadets!$F29)</f>
        <v/>
      </c>
      <c r="C66" s="16" t="n"/>
      <c r="D66" s="16" t="n"/>
      <c r="E66" s="16" t="n"/>
      <c r="F66" s="16" t="n"/>
      <c r="G66" s="16" t="n"/>
      <c r="H66" s="16" t="n"/>
      <c r="I66" s="20">
        <f>IF($B66="","",IF(COUNTIF(C66:H66,"Yes")=6,"Yes","No"))</f>
        <v/>
      </c>
    </row>
    <row r="67">
      <c r="B67" s="20">
        <f>IF(Cadets!$B30="","",Cadets!$F30)</f>
        <v/>
      </c>
      <c r="C67" s="16" t="n"/>
      <c r="D67" s="16" t="n"/>
      <c r="E67" s="16" t="n"/>
      <c r="F67" s="16" t="n"/>
      <c r="G67" s="16" t="n"/>
      <c r="H67" s="16" t="n"/>
      <c r="I67" s="20">
        <f>IF($B67="","",IF(COUNTIF(C67:H67,"Yes")=6,"Yes","No"))</f>
        <v/>
      </c>
    </row>
    <row r="68">
      <c r="B68" s="20">
        <f>IF(Cadets!$B31="","",Cadets!$F31)</f>
        <v/>
      </c>
      <c r="C68" s="16" t="n"/>
      <c r="D68" s="16" t="n"/>
      <c r="E68" s="16" t="n"/>
      <c r="F68" s="16" t="n"/>
      <c r="G68" s="16" t="n"/>
      <c r="H68" s="16" t="n"/>
      <c r="I68" s="20">
        <f>IF($B68="","",IF(COUNTIF(C68:H68,"Yes")=6,"Yes","No"))</f>
        <v/>
      </c>
    </row>
    <row r="69">
      <c r="B69" s="20">
        <f>IF(Cadets!$B32="","",Cadets!$F32)</f>
        <v/>
      </c>
      <c r="C69" s="16" t="n"/>
      <c r="D69" s="16" t="n"/>
      <c r="E69" s="16" t="n"/>
      <c r="F69" s="16" t="n"/>
      <c r="G69" s="16" t="n"/>
      <c r="H69" s="16" t="n"/>
      <c r="I69" s="20">
        <f>IF($B69="","",IF(COUNTIF(C69:H69,"Yes")=6,"Yes","No"))</f>
        <v/>
      </c>
    </row>
    <row r="70">
      <c r="B70" s="20">
        <f>IF(Cadets!$B33="","",Cadets!$F33)</f>
        <v/>
      </c>
      <c r="C70" s="16" t="n"/>
      <c r="D70" s="16" t="n"/>
      <c r="E70" s="16" t="n"/>
      <c r="F70" s="16" t="n"/>
      <c r="G70" s="16" t="n"/>
      <c r="H70" s="16" t="n"/>
      <c r="I70" s="20">
        <f>IF($B70="","",IF(COUNTIF(C70:H70,"Yes")=6,"Yes","No"))</f>
        <v/>
      </c>
    </row>
    <row r="71">
      <c r="B71" s="20">
        <f>IF(Cadets!$B34="","",Cadets!$F34)</f>
        <v/>
      </c>
      <c r="C71" s="16" t="n"/>
      <c r="D71" s="16" t="n"/>
      <c r="E71" s="16" t="n"/>
      <c r="F71" s="16" t="n"/>
      <c r="G71" s="16" t="n"/>
      <c r="H71" s="16" t="n"/>
      <c r="I71" s="20">
        <f>IF($B71="","",IF(COUNTIF(C71:H71,"Yes")=6,"Yes","No"))</f>
        <v/>
      </c>
    </row>
    <row r="72">
      <c r="B72" s="20">
        <f>IF(Cadets!$B35="","",Cadets!$F35)</f>
        <v/>
      </c>
      <c r="C72" s="16" t="n"/>
      <c r="D72" s="16" t="n"/>
      <c r="E72" s="16" t="n"/>
      <c r="F72" s="16" t="n"/>
      <c r="G72" s="16" t="n"/>
      <c r="H72" s="16" t="n"/>
      <c r="I72" s="20">
        <f>IF($B72="","",IF(COUNTIF(C72:H72,"Yes")=6,"Yes","No"))</f>
        <v/>
      </c>
    </row>
    <row r="73">
      <c r="B73" s="20">
        <f>IF(Cadets!$B36="","",Cadets!$F36)</f>
        <v/>
      </c>
      <c r="C73" s="16" t="n"/>
      <c r="D73" s="16" t="n"/>
      <c r="E73" s="16" t="n"/>
      <c r="F73" s="16" t="n"/>
      <c r="G73" s="16" t="n"/>
      <c r="H73" s="16" t="n"/>
      <c r="I73" s="20">
        <f>IF($B73="","",IF(COUNTIF(C73:H73,"Yes")=6,"Yes","No"))</f>
        <v/>
      </c>
    </row>
    <row r="74">
      <c r="B74" s="20">
        <f>IF(Cadets!$B37="","",Cadets!$F37)</f>
        <v/>
      </c>
      <c r="C74" s="16" t="n"/>
      <c r="D74" s="16" t="n"/>
      <c r="E74" s="16" t="n"/>
      <c r="F74" s="16" t="n"/>
      <c r="G74" s="16" t="n"/>
      <c r="H74" s="16" t="n"/>
      <c r="I74" s="20">
        <f>IF($B74="","",IF(COUNTIF(C74:H74,"Yes")=6,"Yes","No"))</f>
        <v/>
      </c>
    </row>
    <row r="75">
      <c r="B75" s="20">
        <f>IF(Cadets!$B38="","",Cadets!$F38)</f>
        <v/>
      </c>
      <c r="C75" s="16" t="n"/>
      <c r="D75" s="16" t="n"/>
      <c r="E75" s="16" t="n"/>
      <c r="F75" s="16" t="n"/>
      <c r="G75" s="16" t="n"/>
      <c r="H75" s="16" t="n"/>
      <c r="I75" s="20">
        <f>IF($B75="","",IF(COUNTIF(C75:H75,"Yes")=6,"Yes","No"))</f>
        <v/>
      </c>
    </row>
    <row r="76">
      <c r="B76" s="20">
        <f>IF(Cadets!$B39="","",Cadets!$F39)</f>
        <v/>
      </c>
      <c r="C76" s="16" t="n"/>
      <c r="D76" s="16" t="n"/>
      <c r="E76" s="16" t="n"/>
      <c r="F76" s="16" t="n"/>
      <c r="G76" s="16" t="n"/>
      <c r="H76" s="16" t="n"/>
      <c r="I76" s="20">
        <f>IF($B76="","",IF(COUNTIF(C76:H76,"Yes")=6,"Yes","No"))</f>
        <v/>
      </c>
    </row>
    <row r="77">
      <c r="B77" s="20">
        <f>IF(Cadets!$B40="","",Cadets!$F40)</f>
        <v/>
      </c>
      <c r="C77" s="16" t="n"/>
      <c r="D77" s="16" t="n"/>
      <c r="E77" s="16" t="n"/>
      <c r="F77" s="16" t="n"/>
      <c r="G77" s="16" t="n"/>
      <c r="H77" s="16" t="n"/>
      <c r="I77" s="20">
        <f>IF($B77="","",IF(COUNTIF(C77:H77,"Yes")=6,"Yes","No"))</f>
        <v/>
      </c>
    </row>
    <row r="78">
      <c r="B78" s="20">
        <f>IF(Cadets!$B41="","",Cadets!$F41)</f>
        <v/>
      </c>
      <c r="C78" s="16" t="n"/>
      <c r="D78" s="16" t="n"/>
      <c r="E78" s="16" t="n"/>
      <c r="F78" s="16" t="n"/>
      <c r="G78" s="16" t="n"/>
      <c r="H78" s="16" t="n"/>
      <c r="I78" s="20">
        <f>IF($B78="","",IF(COUNTIF(C78:H78,"Yes")=6,"Yes","No"))</f>
        <v/>
      </c>
    </row>
    <row r="79">
      <c r="B79" s="20">
        <f>IF(Cadets!$B42="","",Cadets!$F42)</f>
        <v/>
      </c>
      <c r="C79" s="16" t="n"/>
      <c r="D79" s="16" t="n"/>
      <c r="E79" s="16" t="n"/>
      <c r="F79" s="16" t="n"/>
      <c r="G79" s="16" t="n"/>
      <c r="H79" s="16" t="n"/>
      <c r="I79" s="20">
        <f>IF($B79="","",IF(COUNTIF(C79:H79,"Yes")=6,"Yes","No"))</f>
        <v/>
      </c>
    </row>
    <row r="80">
      <c r="B80" s="20">
        <f>IF(Cadets!$B43="","",Cadets!$F43)</f>
        <v/>
      </c>
      <c r="C80" s="16" t="n"/>
      <c r="D80" s="16" t="n"/>
      <c r="E80" s="16" t="n"/>
      <c r="F80" s="16" t="n"/>
      <c r="G80" s="16" t="n"/>
      <c r="H80" s="16" t="n"/>
      <c r="I80" s="20">
        <f>IF($B80="","",IF(COUNTIF(C80:H80,"Yes")=6,"Yes","No"))</f>
        <v/>
      </c>
    </row>
    <row r="81">
      <c r="B81" s="20">
        <f>IF(Cadets!$B44="","",Cadets!$F44)</f>
        <v/>
      </c>
      <c r="C81" s="16" t="n"/>
      <c r="D81" s="16" t="n"/>
      <c r="E81" s="16" t="n"/>
      <c r="F81" s="16" t="n"/>
      <c r="G81" s="16" t="n"/>
      <c r="H81" s="16" t="n"/>
      <c r="I81" s="20">
        <f>IF($B81="","",IF(COUNTIF(C81:H81,"Yes")=6,"Yes","No"))</f>
        <v/>
      </c>
    </row>
    <row r="82">
      <c r="B82" s="20">
        <f>IF(Cadets!$B45="","",Cadets!$F45)</f>
        <v/>
      </c>
      <c r="C82" s="16" t="n"/>
      <c r="D82" s="16" t="n"/>
      <c r="E82" s="16" t="n"/>
      <c r="F82" s="16" t="n"/>
      <c r="G82" s="16" t="n"/>
      <c r="H82" s="16" t="n"/>
      <c r="I82" s="20">
        <f>IF($B82="","",IF(COUNTIF(C82:H82,"Yes")=6,"Yes","No"))</f>
        <v/>
      </c>
    </row>
    <row r="83">
      <c r="B83" s="20">
        <f>IF(Cadets!$B46="","",Cadets!$F46)</f>
        <v/>
      </c>
      <c r="C83" s="16" t="n"/>
      <c r="D83" s="16" t="n"/>
      <c r="E83" s="16" t="n"/>
      <c r="F83" s="16" t="n"/>
      <c r="G83" s="16" t="n"/>
      <c r="H83" s="16" t="n"/>
      <c r="I83" s="20">
        <f>IF($B83="","",IF(COUNTIF(C83:H83,"Yes")=6,"Yes","No"))</f>
        <v/>
      </c>
    </row>
    <row r="84">
      <c r="B84" s="20">
        <f>IF(Cadets!$B47="","",Cadets!$F47)</f>
        <v/>
      </c>
      <c r="C84" s="16" t="n"/>
      <c r="D84" s="16" t="n"/>
      <c r="E84" s="16" t="n"/>
      <c r="F84" s="16" t="n"/>
      <c r="G84" s="16" t="n"/>
      <c r="H84" s="16" t="n"/>
      <c r="I84" s="20">
        <f>IF($B84="","",IF(COUNTIF(C84:H84,"Yes")=6,"Yes","No"))</f>
        <v/>
      </c>
    </row>
    <row r="85">
      <c r="B85" s="20">
        <f>IF(Cadets!$B48="","",Cadets!$F48)</f>
        <v/>
      </c>
      <c r="C85" s="16" t="n"/>
      <c r="D85" s="16" t="n"/>
      <c r="E85" s="16" t="n"/>
      <c r="F85" s="16" t="n"/>
      <c r="G85" s="16" t="n"/>
      <c r="H85" s="16" t="n"/>
      <c r="I85" s="20">
        <f>IF($B85="","",IF(COUNTIF(C85:H85,"Yes")=6,"Yes","No"))</f>
        <v/>
      </c>
    </row>
    <row r="86">
      <c r="B86" s="20">
        <f>IF(Cadets!$B49="","",Cadets!$F49)</f>
        <v/>
      </c>
      <c r="C86" s="16" t="n"/>
      <c r="D86" s="16" t="n"/>
      <c r="E86" s="16" t="n"/>
      <c r="F86" s="16" t="n"/>
      <c r="G86" s="16" t="n"/>
      <c r="H86" s="16" t="n"/>
      <c r="I86" s="20">
        <f>IF($B86="","",IF(COUNTIF(C86:H86,"Yes")=6,"Yes","No"))</f>
        <v/>
      </c>
    </row>
    <row r="87">
      <c r="B87" s="20">
        <f>IF(Cadets!$B50="","",Cadets!$F50)</f>
        <v/>
      </c>
      <c r="C87" s="16" t="n"/>
      <c r="D87" s="16" t="n"/>
      <c r="E87" s="16" t="n"/>
      <c r="F87" s="16" t="n"/>
      <c r="G87" s="16" t="n"/>
      <c r="H87" s="16" t="n"/>
      <c r="I87" s="20">
        <f>IF($B87="","",IF(COUNTIF(C87:H87,"Yes")=6,"Yes","No"))</f>
        <v/>
      </c>
    </row>
    <row r="88">
      <c r="B88" s="20">
        <f>IF(Cadets!$B51="","",Cadets!$F51)</f>
        <v/>
      </c>
      <c r="C88" s="16" t="n"/>
      <c r="D88" s="16" t="n"/>
      <c r="E88" s="16" t="n"/>
      <c r="F88" s="16" t="n"/>
      <c r="G88" s="16" t="n"/>
      <c r="H88" s="16" t="n"/>
      <c r="I88" s="20">
        <f>IF($B88="","",IF(COUNTIF(C88:H88,"Yes")=6,"Yes","No"))</f>
        <v/>
      </c>
    </row>
    <row r="89">
      <c r="B89" s="20">
        <f>IF(Cadets!$B52="","",Cadets!$F52)</f>
        <v/>
      </c>
      <c r="C89" s="16" t="n"/>
      <c r="D89" s="16" t="n"/>
      <c r="E89" s="16" t="n"/>
      <c r="F89" s="16" t="n"/>
      <c r="G89" s="16" t="n"/>
      <c r="H89" s="16" t="n"/>
      <c r="I89" s="20">
        <f>IF($B89="","",IF(COUNTIF(C89:H89,"Yes")=6,"Yes","No"))</f>
        <v/>
      </c>
    </row>
    <row r="90">
      <c r="B90" s="20">
        <f>IF(Cadets!$B53="","",Cadets!$F53)</f>
        <v/>
      </c>
      <c r="C90" s="16" t="n"/>
      <c r="D90" s="16" t="n"/>
      <c r="E90" s="16" t="n"/>
      <c r="F90" s="16" t="n"/>
      <c r="G90" s="16" t="n"/>
      <c r="H90" s="16" t="n"/>
      <c r="I90" s="20">
        <f>IF($B90="","",IF(COUNTIF(C90:H90,"Yes")=6,"Yes","No"))</f>
        <v/>
      </c>
    </row>
    <row r="91">
      <c r="B91" s="20">
        <f>IF(Cadets!$B54="","",Cadets!$F54)</f>
        <v/>
      </c>
      <c r="C91" s="16" t="n"/>
      <c r="D91" s="16" t="n"/>
      <c r="E91" s="16" t="n"/>
      <c r="F91" s="16" t="n"/>
      <c r="G91" s="16" t="n"/>
      <c r="H91" s="16" t="n"/>
      <c r="I91" s="20">
        <f>IF($B91="","",IF(COUNTIF(C91:H91,"Yes")=6,"Yes","No"))</f>
        <v/>
      </c>
    </row>
    <row r="92">
      <c r="B92" s="20">
        <f>IF(Cadets!$B55="","",Cadets!$F55)</f>
        <v/>
      </c>
      <c r="C92" s="16" t="n"/>
      <c r="D92" s="16" t="n"/>
      <c r="E92" s="16" t="n"/>
      <c r="F92" s="16" t="n"/>
      <c r="G92" s="16" t="n"/>
      <c r="H92" s="16" t="n"/>
      <c r="I92" s="20">
        <f>IF($B92="","",IF(COUNTIF(C92:H92,"Yes")=6,"Yes","No"))</f>
        <v/>
      </c>
    </row>
  </sheetData>
  <mergeCells count="17">
    <mergeCell ref="B31:E31"/>
    <mergeCell ref="B26:H26"/>
    <mergeCell ref="B35:E35"/>
    <mergeCell ref="B41:H41"/>
    <mergeCell ref="B37:E37"/>
    <mergeCell ref="B34:E34"/>
    <mergeCell ref="B30:E30"/>
    <mergeCell ref="B38:E38"/>
    <mergeCell ref="B29:E29"/>
    <mergeCell ref="B24:H24"/>
    <mergeCell ref="B33:E33"/>
    <mergeCell ref="B39:E39"/>
    <mergeCell ref="B7:H7"/>
    <mergeCell ref="B25:H25"/>
    <mergeCell ref="B36:E36"/>
    <mergeCell ref="B28:H28"/>
    <mergeCell ref="B32:E32"/>
  </mergeCells>
  <conditionalFormatting sqref="E9:E22">
    <cfRule type="expression" priority="1" dxfId="1">
      <formula>AND($E9&lt;&gt;"OK",$E9&lt;&gt;"")</formula>
    </cfRule>
    <cfRule type="expression" priority="2" dxfId="2">
      <formula>$E9="OK"</formula>
    </cfRule>
  </conditionalFormatting>
  <conditionalFormatting sqref="F30:F39">
    <cfRule type="expression" priority="3" dxfId="1">
      <formula>AND($B30&lt;&gt;"",$F30&lt;&gt;"Yes",$F30&lt;&gt;"N/A")</formula>
    </cfRule>
  </conditionalFormatting>
  <conditionalFormatting sqref="I43:I92">
    <cfRule type="cellIs" priority="4" operator="equal" dxfId="2">
      <formula>"Yes"</formula>
    </cfRule>
    <cfRule type="cellIs" priority="5" operator="equal" dxfId="1">
      <formula>"No"</formula>
    </cfRule>
  </conditionalFormatting>
  <dataValidations count="2">
    <dataValidation sqref="F30:F39" showDropDown="0" showInputMessage="0" showErrorMessage="1" allowBlank="1" type="list">
      <formula1>"Yes,No,N/A"</formula1>
    </dataValidation>
    <dataValidation sqref="C43:H9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8">
        <f>ChapterMaster!$C$6</f>
        <v/>
      </c>
      <c r="C9" s="28">
        <f>ChapterMaster!$D$6</f>
        <v/>
      </c>
      <c r="D9" s="29">
        <f>ChapterMaster!$E$6</f>
        <v/>
      </c>
      <c r="E9" s="29">
        <f>IF(ChapterMaster!$G6=0,"",ChapterMaster!$G6)</f>
        <v/>
      </c>
      <c r="F9" s="30">
        <f>IF(OR(ChapterMaster!$G6="",ChapterMaster!$G6=0),"",IF(ChapterMaster!$G6&gt;ChapterMaster!$E6,ROUND(ChapterMaster!$G6-ChapterMaster!$E6,2),""))</f>
        <v/>
      </c>
      <c r="G9" s="28">
        <f>IF($F9="","","#101 (Addendum to BPOC)")</f>
        <v/>
      </c>
    </row>
    <row r="10">
      <c r="B10" s="28">
        <f>ChapterMaster!$C$7</f>
        <v/>
      </c>
      <c r="C10" s="28">
        <f>ChapterMaster!$D$7</f>
        <v/>
      </c>
      <c r="D10" s="29">
        <f>ChapterMaster!$E$7</f>
        <v/>
      </c>
      <c r="E10" s="29">
        <f>IF(ChapterMaster!$G7=0,"",ChapterMaster!$G7)</f>
        <v/>
      </c>
      <c r="F10" s="30">
        <f>IF(OR(ChapterMaster!$G7="",ChapterMaster!$G7=0),"",IF(ChapterMaster!$G7&gt;ChapterMaster!$E7,ROUND(ChapterMaster!$G7-ChapterMaster!$E7,2),""))</f>
        <v/>
      </c>
      <c r="G10" s="28">
        <f>IF($F10="","","#101 (Addendum to BPOC)")</f>
        <v/>
      </c>
    </row>
    <row r="11">
      <c r="B11" s="28">
        <f>ChapterMaster!$C$8</f>
        <v/>
      </c>
      <c r="C11" s="28">
        <f>ChapterMaster!$D$8</f>
        <v/>
      </c>
      <c r="D11" s="29">
        <f>ChapterMaster!$E$8</f>
        <v/>
      </c>
      <c r="E11" s="29">
        <f>IF(ChapterMaster!$G8=0,"",ChapterMaster!$G8)</f>
        <v/>
      </c>
      <c r="F11" s="30">
        <f>IF(OR(ChapterMaster!$G8="",ChapterMaster!$G8=0),"",IF(ChapterMaster!$G8&gt;ChapterMaster!$E8,ROUND(ChapterMaster!$G8-ChapterMaster!$E8,2),""))</f>
        <v/>
      </c>
      <c r="G11" s="28">
        <f>IF($F11="","","#101 (Addendum to BPOC)")</f>
        <v/>
      </c>
    </row>
    <row r="12">
      <c r="B12" s="28">
        <f>ChapterMaster!$C$9</f>
        <v/>
      </c>
      <c r="C12" s="28">
        <f>ChapterMaster!$D$9</f>
        <v/>
      </c>
      <c r="D12" s="29">
        <f>ChapterMaster!$E$9</f>
        <v/>
      </c>
      <c r="E12" s="29">
        <f>IF(ChapterMaster!$G9=0,"",ChapterMaster!$G9)</f>
        <v/>
      </c>
      <c r="F12" s="30">
        <f>IF(OR(ChapterMaster!$G9="",ChapterMaster!$G9=0),"",IF(ChapterMaster!$G9&gt;ChapterMaster!$E9,ROUND(ChapterMaster!$G9-ChapterMaster!$E9,2),""))</f>
        <v/>
      </c>
      <c r="G12" s="28">
        <f>IF($F12="","","#101 (Addendum to BPOC)")</f>
        <v/>
      </c>
    </row>
    <row r="13">
      <c r="B13" s="28">
        <f>ChapterMaster!$C$10</f>
        <v/>
      </c>
      <c r="C13" s="28">
        <f>ChapterMaster!$D$10</f>
        <v/>
      </c>
      <c r="D13" s="29">
        <f>ChapterMaster!$E$10</f>
        <v/>
      </c>
      <c r="E13" s="29">
        <f>IF(ChapterMaster!$G10=0,"",ChapterMaster!$G10)</f>
        <v/>
      </c>
      <c r="F13" s="30">
        <f>IF(OR(ChapterMaster!$G10="",ChapterMaster!$G10=0),"",IF(ChapterMaster!$G10&gt;ChapterMaster!$E10,ROUND(ChapterMaster!$G10-ChapterMaster!$E10,2),""))</f>
        <v/>
      </c>
      <c r="G13" s="28">
        <f>IF($F13="","","#101 (Addendum to BPOC)")</f>
        <v/>
      </c>
    </row>
    <row r="14">
      <c r="B14" s="28">
        <f>ChapterMaster!$C$11</f>
        <v/>
      </c>
      <c r="C14" s="28">
        <f>ChapterMaster!$D$11</f>
        <v/>
      </c>
      <c r="D14" s="29">
        <f>ChapterMaster!$E$11</f>
        <v/>
      </c>
      <c r="E14" s="29">
        <f>IF(ChapterMaster!$G11=0,"",ChapterMaster!$G11)</f>
        <v/>
      </c>
      <c r="F14" s="30">
        <f>IF(OR(ChapterMaster!$G11="",ChapterMaster!$G11=0),"",IF(ChapterMaster!$G11&gt;ChapterMaster!$E11,ROUND(ChapterMaster!$G11-ChapterMaster!$E11,2),""))</f>
        <v/>
      </c>
      <c r="G14" s="28">
        <f>IF($F14="","","#101 (Addendum to BPOC)")</f>
        <v/>
      </c>
    </row>
    <row r="15">
      <c r="B15" s="28">
        <f>ChapterMaster!$C$12</f>
        <v/>
      </c>
      <c r="C15" s="28">
        <f>ChapterMaster!$D$12</f>
        <v/>
      </c>
      <c r="D15" s="29">
        <f>ChapterMaster!$E$12</f>
        <v/>
      </c>
      <c r="E15" s="29">
        <f>IF(ChapterMaster!$G12=0,"",ChapterMaster!$G12)</f>
        <v/>
      </c>
      <c r="F15" s="30">
        <f>IF(OR(ChapterMaster!$G12="",ChapterMaster!$G12=0),"",IF(ChapterMaster!$G12&gt;ChapterMaster!$E12,ROUND(ChapterMaster!$G12-ChapterMaster!$E12,2),""))</f>
        <v/>
      </c>
      <c r="G15" s="28">
        <f>IF($F15="","","#101 (Addendum to BPOC)")</f>
        <v/>
      </c>
    </row>
    <row r="16">
      <c r="B16" s="28">
        <f>ChapterMaster!$C$13</f>
        <v/>
      </c>
      <c r="C16" s="28">
        <f>ChapterMaster!$D$13</f>
        <v/>
      </c>
      <c r="D16" s="29">
        <f>ChapterMaster!$E$13</f>
        <v/>
      </c>
      <c r="E16" s="29">
        <f>IF(ChapterMaster!$G13=0,"",ChapterMaster!$G13)</f>
        <v/>
      </c>
      <c r="F16" s="30">
        <f>IF(OR(ChapterMaster!$G13="",ChapterMaster!$G13=0),"",IF(ChapterMaster!$G13&gt;ChapterMaster!$E13,ROUND(ChapterMaster!$G13-ChapterMaster!$E13,2),""))</f>
        <v/>
      </c>
      <c r="G16" s="28">
        <f>IF($F16="","","#101 (Addendum to BPOC)")</f>
        <v/>
      </c>
    </row>
    <row r="17">
      <c r="B17" s="28">
        <f>ChapterMaster!$C$14</f>
        <v/>
      </c>
      <c r="C17" s="28">
        <f>ChapterMaster!$D$14</f>
        <v/>
      </c>
      <c r="D17" s="29">
        <f>ChapterMaster!$E$14</f>
        <v/>
      </c>
      <c r="E17" s="29">
        <f>IF(ChapterMaster!$G14=0,"",ChapterMaster!$G14)</f>
        <v/>
      </c>
      <c r="F17" s="30">
        <f>IF(OR(ChapterMaster!$G14="",ChapterMaster!$G14=0),"",IF(ChapterMaster!$G14&gt;ChapterMaster!$E14,ROUND(ChapterMaster!$G14-ChapterMaster!$E14,2),""))</f>
        <v/>
      </c>
      <c r="G17" s="28">
        <f>IF($F17="","","#101 (Addendum to BPOC)")</f>
        <v/>
      </c>
    </row>
    <row r="18">
      <c r="B18" s="28">
        <f>ChapterMaster!$C$15</f>
        <v/>
      </c>
      <c r="C18" s="28">
        <f>ChapterMaster!$D$15</f>
        <v/>
      </c>
      <c r="D18" s="29">
        <f>ChapterMaster!$E$15</f>
        <v/>
      </c>
      <c r="E18" s="29">
        <f>IF(ChapterMaster!$G15=0,"",ChapterMaster!$G15)</f>
        <v/>
      </c>
      <c r="F18" s="30">
        <f>IF(OR(ChapterMaster!$G15="",ChapterMaster!$G15=0),"",IF(ChapterMaster!$G15&gt;ChapterMaster!$E15,ROUND(ChapterMaster!$G15-ChapterMaster!$E15,2),""))</f>
        <v/>
      </c>
      <c r="G18" s="28">
        <f>IF($F18="","","#101 (Addendum to BPOC)")</f>
        <v/>
      </c>
    </row>
    <row r="19">
      <c r="B19" s="28">
        <f>ChapterMaster!$C$16</f>
        <v/>
      </c>
      <c r="C19" s="28">
        <f>ChapterMaster!$D$16</f>
        <v/>
      </c>
      <c r="D19" s="29">
        <f>ChapterMaster!$E$16</f>
        <v/>
      </c>
      <c r="E19" s="29">
        <f>IF(ChapterMaster!$G16=0,"",ChapterMaster!$G16)</f>
        <v/>
      </c>
      <c r="F19" s="30">
        <f>IF(OR(ChapterMaster!$G16="",ChapterMaster!$G16=0),"",IF(ChapterMaster!$G16&gt;ChapterMaster!$E16,ROUND(ChapterMaster!$G16-ChapterMaster!$E16,2),""))</f>
        <v/>
      </c>
      <c r="G19" s="28">
        <f>IF($F19="","","#101 (Addendum to BPOC)")</f>
        <v/>
      </c>
    </row>
    <row r="20">
      <c r="B20" s="28">
        <f>ChapterMaster!$C$17</f>
        <v/>
      </c>
      <c r="C20" s="28">
        <f>ChapterMaster!$D$17</f>
        <v/>
      </c>
      <c r="D20" s="29">
        <f>ChapterMaster!$E$17</f>
        <v/>
      </c>
      <c r="E20" s="29">
        <f>IF(ChapterMaster!$G17=0,"",ChapterMaster!$G17)</f>
        <v/>
      </c>
      <c r="F20" s="30">
        <f>IF(OR(ChapterMaster!$G17="",ChapterMaster!$G17=0),"",IF(ChapterMaster!$G17&gt;ChapterMaster!$E17,ROUND(ChapterMaster!$G17-ChapterMaster!$E17,2),""))</f>
        <v/>
      </c>
      <c r="G20" s="28">
        <f>IF($F20="","","#101 (Addendum to BPOC)")</f>
        <v/>
      </c>
    </row>
    <row r="21">
      <c r="B21" s="28">
        <f>ChapterMaster!$C$18</f>
        <v/>
      </c>
      <c r="C21" s="28">
        <f>ChapterMaster!$D$18</f>
        <v/>
      </c>
      <c r="D21" s="29">
        <f>ChapterMaster!$E$18</f>
        <v/>
      </c>
      <c r="E21" s="29">
        <f>IF(ChapterMaster!$G18=0,"",ChapterMaster!$G18)</f>
        <v/>
      </c>
      <c r="F21" s="30">
        <f>IF(OR(ChapterMaster!$G18="",ChapterMaster!$G18=0),"",IF(ChapterMaster!$G18&gt;ChapterMaster!$E18,ROUND(ChapterMaster!$G18-ChapterMaster!$E18,2),""))</f>
        <v/>
      </c>
      <c r="G21" s="28">
        <f>IF($F21="","","#101 (Addendum to BPOC)")</f>
        <v/>
      </c>
    </row>
    <row r="22">
      <c r="B22" s="28">
        <f>ChapterMaster!$C$19</f>
        <v/>
      </c>
      <c r="C22" s="28">
        <f>ChapterMaster!$D$19</f>
        <v/>
      </c>
      <c r="D22" s="29">
        <f>ChapterMaster!$E$19</f>
        <v/>
      </c>
      <c r="E22" s="29">
        <f>IF(ChapterMaster!$G19=0,"",ChapterMaster!$G19)</f>
        <v/>
      </c>
      <c r="F22" s="30">
        <f>IF(OR(ChapterMaster!$G19="",ChapterMaster!$G19=0),"",IF(ChapterMaster!$G19&gt;ChapterMaster!$E19,ROUND(ChapterMaster!$G19-ChapterMaster!$E19,2),""))</f>
        <v/>
      </c>
      <c r="G22" s="28">
        <f>IF($F22="","","#101 (Addendum to BPOC)")</f>
        <v/>
      </c>
    </row>
    <row r="23">
      <c r="B23" s="28">
        <f>ChapterMaster!$C$20</f>
        <v/>
      </c>
      <c r="C23" s="28">
        <f>ChapterMaster!$D$20</f>
        <v/>
      </c>
      <c r="D23" s="29">
        <f>ChapterMaster!$E$20</f>
        <v/>
      </c>
      <c r="E23" s="29">
        <f>IF(ChapterMaster!$G20=0,"",ChapterMaster!$G20)</f>
        <v/>
      </c>
      <c r="F23" s="30">
        <f>IF(OR(ChapterMaster!$G20="",ChapterMaster!$G20=0),"",IF(ChapterMaster!$G20&gt;ChapterMaster!$E20,ROUND(ChapterMaster!$G20-ChapterMaster!$E20,2),""))</f>
        <v/>
      </c>
      <c r="G23" s="28">
        <f>IF($F23="","","#101 (Addendum to BPOC)")</f>
        <v/>
      </c>
    </row>
    <row r="24">
      <c r="B24" s="28">
        <f>ChapterMaster!$C$21</f>
        <v/>
      </c>
      <c r="C24" s="28">
        <f>ChapterMaster!$D$21</f>
        <v/>
      </c>
      <c r="D24" s="29">
        <f>ChapterMaster!$E$21</f>
        <v/>
      </c>
      <c r="E24" s="29">
        <f>IF(ChapterMaster!$G21=0,"",ChapterMaster!$G21)</f>
        <v/>
      </c>
      <c r="F24" s="30">
        <f>IF(OR(ChapterMaster!$G21="",ChapterMaster!$G21=0),"",IF(ChapterMaster!$G21&gt;ChapterMaster!$E21,ROUND(ChapterMaster!$G21-ChapterMaster!$E21,2),""))</f>
        <v/>
      </c>
      <c r="G24" s="28">
        <f>IF($F24="","","#101 (Addendum to BPOC)")</f>
        <v/>
      </c>
    </row>
    <row r="25">
      <c r="B25" s="28">
        <f>ChapterMaster!$C$22</f>
        <v/>
      </c>
      <c r="C25" s="28">
        <f>ChapterMaster!$D$22</f>
        <v/>
      </c>
      <c r="D25" s="29">
        <f>ChapterMaster!$E$22</f>
        <v/>
      </c>
      <c r="E25" s="29">
        <f>IF(ChapterMaster!$G22=0,"",ChapterMaster!$G22)</f>
        <v/>
      </c>
      <c r="F25" s="30">
        <f>IF(OR(ChapterMaster!$G22="",ChapterMaster!$G22=0),"",IF(ChapterMaster!$G22&gt;ChapterMaster!$E22,ROUND(ChapterMaster!$G22-ChapterMaster!$E22,2),""))</f>
        <v/>
      </c>
      <c r="G25" s="28">
        <f>IF($F25="","","#101 (Addendum to BPOC)")</f>
        <v/>
      </c>
    </row>
    <row r="26">
      <c r="B26" s="28">
        <f>ChapterMaster!$C$23</f>
        <v/>
      </c>
      <c r="C26" s="28">
        <f>ChapterMaster!$D$23</f>
        <v/>
      </c>
      <c r="D26" s="29">
        <f>ChapterMaster!$E$23</f>
        <v/>
      </c>
      <c r="E26" s="29">
        <f>IF(ChapterMaster!$G23=0,"",ChapterMaster!$G23)</f>
        <v/>
      </c>
      <c r="F26" s="30">
        <f>IF(OR(ChapterMaster!$G23="",ChapterMaster!$G23=0),"",IF(ChapterMaster!$G23&gt;ChapterMaster!$E23,ROUND(ChapterMaster!$G23-ChapterMaster!$E23,2),""))</f>
        <v/>
      </c>
      <c r="G26" s="28">
        <f>IF($F26="","","#101 (Addendum to BPOC)")</f>
        <v/>
      </c>
    </row>
    <row r="27">
      <c r="B27" s="28">
        <f>ChapterMaster!$C$24</f>
        <v/>
      </c>
      <c r="C27" s="28">
        <f>ChapterMaster!$D$24</f>
        <v/>
      </c>
      <c r="D27" s="29">
        <f>ChapterMaster!$E$24</f>
        <v/>
      </c>
      <c r="E27" s="29">
        <f>IF(ChapterMaster!$G24=0,"",ChapterMaster!$G24)</f>
        <v/>
      </c>
      <c r="F27" s="30">
        <f>IF(OR(ChapterMaster!$G24="",ChapterMaster!$G24=0),"",IF(ChapterMaster!$G24&gt;ChapterMaster!$E24,ROUND(ChapterMaster!$G24-ChapterMaster!$E24,2),""))</f>
        <v/>
      </c>
      <c r="G27" s="28">
        <f>IF($F27="","","#101 (Addendum to BPOC)")</f>
        <v/>
      </c>
    </row>
    <row r="28">
      <c r="B28" s="28">
        <f>ChapterMaster!$C$25</f>
        <v/>
      </c>
      <c r="C28" s="28">
        <f>ChapterMaster!$D$25</f>
        <v/>
      </c>
      <c r="D28" s="29">
        <f>ChapterMaster!$E$25</f>
        <v/>
      </c>
      <c r="E28" s="29">
        <f>IF(ChapterMaster!$G25=0,"",ChapterMaster!$G25)</f>
        <v/>
      </c>
      <c r="F28" s="30">
        <f>IF(OR(ChapterMaster!$G25="",ChapterMaster!$G25=0),"",IF(ChapterMaster!$G25&gt;ChapterMaster!$E25,ROUND(ChapterMaster!$G25-ChapterMaster!$E25,2),""))</f>
        <v/>
      </c>
      <c r="G28" s="28">
        <f>IF($F28="","","#101 (Addendum to BPOC)")</f>
        <v/>
      </c>
    </row>
    <row r="29">
      <c r="B29" s="28">
        <f>ChapterMaster!$C$26</f>
        <v/>
      </c>
      <c r="C29" s="28">
        <f>ChapterMaster!$D$26</f>
        <v/>
      </c>
      <c r="D29" s="29">
        <f>ChapterMaster!$E$26</f>
        <v/>
      </c>
      <c r="E29" s="29">
        <f>IF(ChapterMaster!$G26=0,"",ChapterMaster!$G26)</f>
        <v/>
      </c>
      <c r="F29" s="30">
        <f>IF(OR(ChapterMaster!$G26="",ChapterMaster!$G26=0),"",IF(ChapterMaster!$G26&gt;ChapterMaster!$E26,ROUND(ChapterMaster!$G26-ChapterMaster!$E26,2),""))</f>
        <v/>
      </c>
      <c r="G29" s="28">
        <f>IF($F29="","","#101 (Addendum to BPOC)")</f>
        <v/>
      </c>
    </row>
    <row r="30">
      <c r="B30" s="28">
        <f>ChapterMaster!$C$27</f>
        <v/>
      </c>
      <c r="C30" s="28">
        <f>ChapterMaster!$D$27</f>
        <v/>
      </c>
      <c r="D30" s="29">
        <f>ChapterMaster!$E$27</f>
        <v/>
      </c>
      <c r="E30" s="29">
        <f>IF(ChapterMaster!$G27=0,"",ChapterMaster!$G27)</f>
        <v/>
      </c>
      <c r="F30" s="30">
        <f>IF(OR(ChapterMaster!$G27="",ChapterMaster!$G27=0),"",IF(ChapterMaster!$G27&gt;ChapterMaster!$E27,ROUND(ChapterMaster!$G27-ChapterMaster!$E27,2),""))</f>
        <v/>
      </c>
      <c r="G30" s="28">
        <f>IF($F30="","","#101 (Addendum to BPOC)")</f>
        <v/>
      </c>
    </row>
    <row r="31">
      <c r="B31" s="28">
        <f>ChapterMaster!$C$28</f>
        <v/>
      </c>
      <c r="C31" s="28">
        <f>ChapterMaster!$D$28</f>
        <v/>
      </c>
      <c r="D31" s="29">
        <f>ChapterMaster!$E$28</f>
        <v/>
      </c>
      <c r="E31" s="29">
        <f>IF(ChapterMaster!$G28=0,"",ChapterMaster!$G28)</f>
        <v/>
      </c>
      <c r="F31" s="30">
        <f>IF(OR(ChapterMaster!$G28="",ChapterMaster!$G28=0),"",IF(ChapterMaster!$G28&gt;ChapterMaster!$E28,ROUND(ChapterMaster!$G28-ChapterMaster!$E28,2),""))</f>
        <v/>
      </c>
      <c r="G31" s="28">
        <f>IF($F31="","","#101 (Addendum to BPOC)")</f>
        <v/>
      </c>
    </row>
    <row r="32">
      <c r="B32" s="28">
        <f>ChapterMaster!$C$29</f>
        <v/>
      </c>
      <c r="C32" s="28">
        <f>ChapterMaster!$D$29</f>
        <v/>
      </c>
      <c r="D32" s="29">
        <f>ChapterMaster!$E$29</f>
        <v/>
      </c>
      <c r="E32" s="29">
        <f>IF(ChapterMaster!$G29=0,"",ChapterMaster!$G29)</f>
        <v/>
      </c>
      <c r="F32" s="30">
        <f>IF(OR(ChapterMaster!$G29="",ChapterMaster!$G29=0),"",IF(ChapterMaster!$G29&gt;ChapterMaster!$E29,ROUND(ChapterMaster!$G29-ChapterMaster!$E29,2),""))</f>
        <v/>
      </c>
      <c r="G32" s="28">
        <f>IF($F32="","","#101 (Addendum to BPOC)")</f>
        <v/>
      </c>
    </row>
    <row r="33">
      <c r="B33" s="28">
        <f>ChapterMaster!$C$30</f>
        <v/>
      </c>
      <c r="C33" s="28">
        <f>ChapterMaster!$D$30</f>
        <v/>
      </c>
      <c r="D33" s="29">
        <f>ChapterMaster!$E$30</f>
        <v/>
      </c>
      <c r="E33" s="29">
        <f>IF(ChapterMaster!$G30=0,"",ChapterMaster!$G30)</f>
        <v/>
      </c>
      <c r="F33" s="30">
        <f>IF(OR(ChapterMaster!$G30="",ChapterMaster!$G30=0),"",IF(ChapterMaster!$G30&gt;ChapterMaster!$E30,ROUND(ChapterMaster!$G30-ChapterMaster!$E30,2),""))</f>
        <v/>
      </c>
      <c r="G33" s="28">
        <f>IF($F33="","","#101 (Addendum to BPOC)")</f>
        <v/>
      </c>
    </row>
    <row r="34">
      <c r="B34" s="28">
        <f>ChapterMaster!$C$31</f>
        <v/>
      </c>
      <c r="C34" s="28">
        <f>ChapterMaster!$D$31</f>
        <v/>
      </c>
      <c r="D34" s="29">
        <f>ChapterMaster!$E$31</f>
        <v/>
      </c>
      <c r="E34" s="29">
        <f>IF(ChapterMaster!$G31=0,"",ChapterMaster!$G31)</f>
        <v/>
      </c>
      <c r="F34" s="30">
        <f>IF(OR(ChapterMaster!$G31="",ChapterMaster!$G31=0),"",IF(ChapterMaster!$G31&gt;ChapterMaster!$E31,ROUND(ChapterMaster!$G31-ChapterMaster!$E31,2),""))</f>
        <v/>
      </c>
      <c r="G34" s="28">
        <f>IF($F34="","","#101 (Addendum to BPOC)")</f>
        <v/>
      </c>
    </row>
    <row r="35">
      <c r="B35" s="28">
        <f>ChapterMaster!$C$32</f>
        <v/>
      </c>
      <c r="C35" s="28">
        <f>ChapterMaster!$D$32</f>
        <v/>
      </c>
      <c r="D35" s="29">
        <f>ChapterMaster!$E$32</f>
        <v/>
      </c>
      <c r="E35" s="29">
        <f>IF(ChapterMaster!$G32=0,"",ChapterMaster!$G32)</f>
        <v/>
      </c>
      <c r="F35" s="30">
        <f>IF(OR(ChapterMaster!$G32="",ChapterMaster!$G32=0),"",IF(ChapterMaster!$G32&gt;ChapterMaster!$E32,ROUND(ChapterMaster!$G32-ChapterMaster!$E32,2),""))</f>
        <v/>
      </c>
      <c r="G35" s="28">
        <f>IF($F35="","","#101 (Addendum to BPOC)")</f>
        <v/>
      </c>
    </row>
    <row r="36">
      <c r="B36" s="28">
        <f>ChapterMaster!$C$33</f>
        <v/>
      </c>
      <c r="C36" s="28">
        <f>ChapterMaster!$D$33</f>
        <v/>
      </c>
      <c r="D36" s="29">
        <f>ChapterMaster!$E$33</f>
        <v/>
      </c>
      <c r="E36" s="29">
        <f>IF(ChapterMaster!$G33=0,"",ChapterMaster!$G33)</f>
        <v/>
      </c>
      <c r="F36" s="30">
        <f>IF(OR(ChapterMaster!$G33="",ChapterMaster!$G33=0),"",IF(ChapterMaster!$G33&gt;ChapterMaster!$E33,ROUND(ChapterMaster!$G33-ChapterMaster!$E33,2),""))</f>
        <v/>
      </c>
      <c r="G36" s="28">
        <f>IF($F36="","","#101 (Addendum to BPOC)")</f>
        <v/>
      </c>
    </row>
    <row r="37">
      <c r="B37" s="28">
        <f>ChapterMaster!$C$34</f>
        <v/>
      </c>
      <c r="C37" s="28">
        <f>ChapterMaster!$D$34</f>
        <v/>
      </c>
      <c r="D37" s="29">
        <f>ChapterMaster!$E$34</f>
        <v/>
      </c>
      <c r="E37" s="29">
        <f>IF(ChapterMaster!$G34=0,"",ChapterMaster!$G34)</f>
        <v/>
      </c>
      <c r="F37" s="30">
        <f>IF(OR(ChapterMaster!$G34="",ChapterMaster!$G34=0),"",IF(ChapterMaster!$G34&gt;ChapterMaster!$E34,ROUND(ChapterMaster!$G34-ChapterMaster!$E34,2),""))</f>
        <v/>
      </c>
      <c r="G37" s="28">
        <f>IF($F37="","","#101 (Addendum to BPOC)")</f>
        <v/>
      </c>
    </row>
    <row r="38">
      <c r="B38" s="28">
        <f>ChapterMaster!$C$35</f>
        <v/>
      </c>
      <c r="C38" s="28">
        <f>ChapterMaster!$D$35</f>
        <v/>
      </c>
      <c r="D38" s="29">
        <f>ChapterMaster!$E$35</f>
        <v/>
      </c>
      <c r="E38" s="29">
        <f>IF(ChapterMaster!$G35=0,"",ChapterMaster!$G35)</f>
        <v/>
      </c>
      <c r="F38" s="30">
        <f>IF(OR(ChapterMaster!$G35="",ChapterMaster!$G35=0),"",IF(ChapterMaster!$G35&gt;ChapterMaster!$E35,ROUND(ChapterMaster!$G35-ChapterMaster!$E35,2),""))</f>
        <v/>
      </c>
      <c r="G38" s="28">
        <f>IF($F38="","","#101 (Addendum to BPOC)")</f>
        <v/>
      </c>
    </row>
    <row r="39">
      <c r="B39" s="28">
        <f>ChapterMaster!$C$36</f>
        <v/>
      </c>
      <c r="C39" s="28">
        <f>ChapterMaster!$D$36</f>
        <v/>
      </c>
      <c r="D39" s="29">
        <f>ChapterMaster!$E$36</f>
        <v/>
      </c>
      <c r="E39" s="29">
        <f>IF(ChapterMaster!$G36=0,"",ChapterMaster!$G36)</f>
        <v/>
      </c>
      <c r="F39" s="30">
        <f>IF(OR(ChapterMaster!$G36="",ChapterMaster!$G36=0),"",IF(ChapterMaster!$G36&gt;ChapterMaster!$E36,ROUND(ChapterMaster!$G36-ChapterMaster!$E36,2),""))</f>
        <v/>
      </c>
      <c r="G39" s="28">
        <f>IF($F39="","","#101 (Addendum to BPOC)")</f>
        <v/>
      </c>
    </row>
    <row r="40">
      <c r="B40" s="28">
        <f>ChapterMaster!$C$37</f>
        <v/>
      </c>
      <c r="C40" s="28">
        <f>ChapterMaster!$D$37</f>
        <v/>
      </c>
      <c r="D40" s="29">
        <f>ChapterMaster!$E$37</f>
        <v/>
      </c>
      <c r="E40" s="29">
        <f>IF(ChapterMaster!$G37=0,"",ChapterMaster!$G37)</f>
        <v/>
      </c>
      <c r="F40" s="30">
        <f>IF(OR(ChapterMaster!$G37="",ChapterMaster!$G37=0),"",IF(ChapterMaster!$G37&gt;ChapterMaster!$E37,ROUND(ChapterMaster!$G37-ChapterMaster!$E37,2),""))</f>
        <v/>
      </c>
      <c r="G40" s="28">
        <f>IF($F40="","","#2040 (Arrest and Control)")</f>
        <v/>
      </c>
    </row>
    <row r="41">
      <c r="B41" s="28">
        <f>ChapterMaster!$C$38</f>
        <v/>
      </c>
      <c r="C41" s="28">
        <f>ChapterMaster!$D$38</f>
        <v/>
      </c>
      <c r="D41" s="29">
        <f>ChapterMaster!$E$38</f>
        <v/>
      </c>
      <c r="E41" s="29">
        <f>IF(ChapterMaster!$G38=0,"",ChapterMaster!$G38)</f>
        <v/>
      </c>
      <c r="F41" s="30">
        <f>IF(OR(ChapterMaster!$G38="",ChapterMaster!$G38=0),"",IF(ChapterMaster!$G38&gt;ChapterMaster!$E38,ROUND(ChapterMaster!$G38-ChapterMaster!$E38,2),""))</f>
        <v/>
      </c>
      <c r="G41" s="28">
        <f>IF($F41="","","#101 (Addendum to BPOC)")</f>
        <v/>
      </c>
    </row>
    <row r="42">
      <c r="B42" s="28">
        <f>ChapterMaster!$C$39</f>
        <v/>
      </c>
      <c r="C42" s="28">
        <f>ChapterMaster!$D$39</f>
        <v/>
      </c>
      <c r="D42" s="29">
        <f>ChapterMaster!$E$39</f>
        <v/>
      </c>
      <c r="E42" s="29">
        <f>IF(ChapterMaster!$G39=0,"",ChapterMaster!$G39)</f>
        <v/>
      </c>
      <c r="F42" s="30">
        <f>IF(OR(ChapterMaster!$G39="",ChapterMaster!$G39=0),"",IF(ChapterMaster!$G39&gt;ChapterMaster!$E39,ROUND(ChapterMaster!$G39-ChapterMaster!$E39,2),""))</f>
        <v/>
      </c>
      <c r="G42" s="28">
        <f>IF($F42="","","#101 (Addendum to BPOC)")</f>
        <v/>
      </c>
    </row>
    <row r="43">
      <c r="B43" s="28">
        <f>ChapterMaster!$C$40</f>
        <v/>
      </c>
      <c r="C43" s="28">
        <f>ChapterMaster!$D$40</f>
        <v/>
      </c>
      <c r="D43" s="29">
        <f>ChapterMaster!$E$40</f>
        <v/>
      </c>
      <c r="E43" s="29">
        <f>IF(ChapterMaster!$G40=0,"",ChapterMaster!$G40)</f>
        <v/>
      </c>
      <c r="F43" s="30">
        <f>IF(OR(ChapterMaster!$G40="",ChapterMaster!$G40=0),"",IF(ChapterMaster!$G40&gt;ChapterMaster!$E40,ROUND(ChapterMaster!$G40-ChapterMaster!$E40,2),""))</f>
        <v/>
      </c>
      <c r="G43" s="28">
        <f>IF($F43="","","#2046 (Professional Police Driving)")</f>
        <v/>
      </c>
    </row>
    <row r="44">
      <c r="B44" s="28">
        <f>ChapterMaster!$C$41</f>
        <v/>
      </c>
      <c r="C44" s="28">
        <f>ChapterMaster!$D$41</f>
        <v/>
      </c>
      <c r="D44" s="29">
        <f>ChapterMaster!$E$41</f>
        <v/>
      </c>
      <c r="E44" s="29">
        <f>IF(ChapterMaster!$G41=0,"",ChapterMaster!$G41)</f>
        <v/>
      </c>
      <c r="F44" s="30">
        <f>IF(OR(ChapterMaster!$G41="",ChapterMaster!$G41=0),"",IF(ChapterMaster!$G41&gt;ChapterMaster!$E41,ROUND(ChapterMaster!$G41-ChapterMaster!$E41,2),""))</f>
        <v/>
      </c>
      <c r="G44" s="28">
        <f>IF($F44="","","#101 (Addendum to BPOC)")</f>
        <v/>
      </c>
    </row>
    <row r="45">
      <c r="B45" s="28">
        <f>ChapterMaster!$C$42</f>
        <v/>
      </c>
      <c r="C45" s="28">
        <f>ChapterMaster!$D$42</f>
        <v/>
      </c>
      <c r="D45" s="29">
        <f>ChapterMaster!$E$42</f>
        <v/>
      </c>
      <c r="E45" s="29">
        <f>IF(ChapterMaster!$G42=0,"",ChapterMaster!$G42)</f>
        <v/>
      </c>
      <c r="F45" s="30">
        <f>IF(OR(ChapterMaster!$G42="",ChapterMaster!$G42=0),"",IF(ChapterMaster!$G42&gt;ChapterMaster!$E42,ROUND(ChapterMaster!$G42-ChapterMaster!$E42,2),""))</f>
        <v/>
      </c>
      <c r="G45" s="28">
        <f>IF($F45="","","#101 (Addendum to BPOC)")</f>
        <v/>
      </c>
    </row>
    <row r="46">
      <c r="B46" s="28">
        <f>ChapterMaster!$C$43</f>
        <v/>
      </c>
      <c r="C46" s="28">
        <f>ChapterMaster!$D$43</f>
        <v/>
      </c>
      <c r="D46" s="29">
        <f>ChapterMaster!$E$43</f>
        <v/>
      </c>
      <c r="E46" s="29">
        <f>IF(ChapterMaster!$G43=0,"",ChapterMaster!$G43)</f>
        <v/>
      </c>
      <c r="F46" s="30">
        <f>IF(OR(ChapterMaster!$G43="",ChapterMaster!$G43=0),"",IF(ChapterMaster!$G43&gt;ChapterMaster!$E43,ROUND(ChapterMaster!$G43-ChapterMaster!$E43,2),""))</f>
        <v/>
      </c>
      <c r="G46" s="28">
        <f>IF($F46="","","#101 (Addendum to BPOC)")</f>
        <v/>
      </c>
    </row>
    <row r="47">
      <c r="B47" s="28">
        <f>ChapterMaster!$C$44</f>
        <v/>
      </c>
      <c r="C47" s="28">
        <f>ChapterMaster!$D$44</f>
        <v/>
      </c>
      <c r="D47" s="29">
        <f>ChapterMaster!$E$44</f>
        <v/>
      </c>
      <c r="E47" s="29">
        <f>IF(ChapterMaster!$G44=0,"",ChapterMaster!$G44)</f>
        <v/>
      </c>
      <c r="F47" s="30">
        <f>IF(OR(ChapterMaster!$G44="",ChapterMaster!$G44=0),"",IF(ChapterMaster!$G44&gt;ChapterMaster!$E44,ROUND(ChapterMaster!$G44-ChapterMaster!$E44,2),""))</f>
        <v/>
      </c>
      <c r="G47" s="28">
        <f>IF($F47="","","#101 (Addendum to BPOC)")</f>
        <v/>
      </c>
    </row>
    <row r="48">
      <c r="B48" s="28">
        <f>ChapterMaster!$C$45</f>
        <v/>
      </c>
      <c r="C48" s="28">
        <f>ChapterMaster!$D$45</f>
        <v/>
      </c>
      <c r="D48" s="29">
        <f>ChapterMaster!$E$45</f>
        <v/>
      </c>
      <c r="E48" s="29">
        <f>IF(ChapterMaster!$G45=0,"",ChapterMaster!$G45)</f>
        <v/>
      </c>
      <c r="F48" s="30">
        <f>IF(OR(ChapterMaster!$G45="",ChapterMaster!$G45=0),"",IF(ChapterMaster!$G45&gt;ChapterMaster!$E45,ROUND(ChapterMaster!$G45-ChapterMaster!$E45,2),""))</f>
        <v/>
      </c>
      <c r="G48" s="28">
        <f>IF($F48="","","#101 (Addendum to BPOC)")</f>
        <v/>
      </c>
    </row>
    <row r="49">
      <c r="B49" s="28">
        <f>ChapterMaster!$C$46</f>
        <v/>
      </c>
      <c r="C49" s="28">
        <f>ChapterMaster!$D$46</f>
        <v/>
      </c>
      <c r="D49" s="29">
        <f>ChapterMaster!$E$46</f>
        <v/>
      </c>
      <c r="E49" s="29">
        <f>IF(ChapterMaster!$G46=0,"",ChapterMaster!$G46)</f>
        <v/>
      </c>
      <c r="F49" s="30">
        <f>IF(OR(ChapterMaster!$G46="",ChapterMaster!$G46=0),"",IF(ChapterMaster!$G46&gt;ChapterMaster!$E46,ROUND(ChapterMaster!$G46-ChapterMaster!$E46,2),""))</f>
        <v/>
      </c>
      <c r="G49" s="28">
        <f>IF($F49="","","#101 (Addendum to BPOC)")</f>
        <v/>
      </c>
    </row>
    <row r="50">
      <c r="B50" s="28">
        <f>ChapterMaster!$C$47</f>
        <v/>
      </c>
      <c r="C50" s="28">
        <f>ChapterMaster!$D$47</f>
        <v/>
      </c>
      <c r="D50" s="29">
        <f>ChapterMaster!$E$47</f>
        <v/>
      </c>
      <c r="E50" s="29">
        <f>IF(ChapterMaster!$G47=0,"",ChapterMaster!$G47)</f>
        <v/>
      </c>
      <c r="F50" s="30">
        <f>IF(OR(ChapterMaster!$G47="",ChapterMaster!$G47=0),"",IF(ChapterMaster!$G47&gt;ChapterMaster!$E47,ROUND(ChapterMaster!$G47-ChapterMaster!$E47,2),""))</f>
        <v/>
      </c>
      <c r="G50" s="28">
        <f>IF($F50="","","#2055 (Firearms)")</f>
        <v/>
      </c>
    </row>
    <row r="51">
      <c r="B51" s="28">
        <f>ChapterMaster!$C$48</f>
        <v/>
      </c>
      <c r="C51" s="28">
        <f>ChapterMaster!$D$48</f>
        <v/>
      </c>
      <c r="D51" s="29">
        <f>ChapterMaster!$E$48</f>
        <v/>
      </c>
      <c r="E51" s="29">
        <f>IF(ChapterMaster!$G48=0,"",ChapterMaster!$G48)</f>
        <v/>
      </c>
      <c r="F51" s="30">
        <f>IF(OR(ChapterMaster!$G48="",ChapterMaster!$G48=0),"",IF(ChapterMaster!$G48&gt;ChapterMaster!$E48,ROUND(ChapterMaster!$G48-ChapterMaster!$E48,2),""))</f>
        <v/>
      </c>
      <c r="G51" s="28">
        <f>IF($F51="","","#101 (Addendum to BPOC)")</f>
        <v/>
      </c>
    </row>
    <row r="52">
      <c r="B52" s="28">
        <f>ChapterMaster!$C$49</f>
        <v/>
      </c>
      <c r="C52" s="28">
        <f>ChapterMaster!$D$49</f>
        <v/>
      </c>
      <c r="D52" s="29">
        <f>ChapterMaster!$E$49</f>
        <v/>
      </c>
      <c r="E52" s="29">
        <f>IF(ChapterMaster!$G49=0,"",ChapterMaster!$G49)</f>
        <v/>
      </c>
      <c r="F52" s="30">
        <f>IF(OR(ChapterMaster!$G49="",ChapterMaster!$G49=0),"",IF(ChapterMaster!$G49&gt;ChapterMaster!$E49,ROUND(ChapterMaster!$G49-ChapterMaster!$E49,2),""))</f>
        <v/>
      </c>
      <c r="G52" s="28">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3"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9"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9" t="inlineStr">
        <is>
          <t>Instructors who taught this chapter (from the schedule)</t>
        </is>
      </c>
      <c r="C19" s="8" t="n"/>
      <c r="D19" s="8" t="n"/>
      <c r="E19" s="8" t="n"/>
      <c r="F19" s="8" t="n"/>
      <c r="G19" s="8" t="n"/>
      <c r="H19" s="8" t="n"/>
      <c r="I19" s="8" t="n"/>
    </row>
    <row r="20">
      <c r="B20">
        <f>IFERROR(_xlfn._xlws.FILTER(_xlfn.HSTACK(nrInstrNames,nrInstrReady,nrInstrChTaught),ISNUMBER(SEARCH(", "&amp;cfgPacketChapter&amp;",",", "&amp;nrInstrChTaught&amp;","))),"— none on the schedule yet —")</f>
        <v/>
      </c>
    </row>
    <row r="21"/>
    <row r="22"/>
    <row r="23"/>
    <row r="24"/>
    <row r="25"/>
    <row r="26"/>
    <row r="27"/>
    <row r="28"/>
    <row r="29"/>
    <row r="30"/>
    <row r="31"/>
    <row r="32" ht="16" customHeight="1">
      <c r="B32" s="9" t="inlineStr">
        <is>
          <t>Schedule blocks delivered</t>
        </is>
      </c>
      <c r="C32" s="8" t="n"/>
      <c r="D32" s="8" t="n"/>
      <c r="E32" s="8" t="n"/>
      <c r="F32" s="8" t="n"/>
      <c r="G32" s="8" t="n"/>
      <c r="H32" s="8" t="n"/>
      <c r="I32" s="8" t="n"/>
    </row>
    <row r="33">
      <c r="B33">
        <f>IFERROR(_xlfn._xlws.FILTER(_xlfn.HSTACK(TEXT(nrSCH_Date,"mm/dd/yyyy"),TEXT(nrSCH_Start,"h:mm AM/PM"),TEXT(nrSCH_End,"h:mm AM/PM"),nrSCH_Act,nrSCH_Instr),nrSCH_ChNum=cfgPacketChapter),"—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3"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9">
        <f>IF(Cadets!$B6="","",ROW()-10)</f>
        <v/>
      </c>
      <c r="C11" s="28">
        <f>IF(Cadets!$B6="","",Cadets!$F6)</f>
        <v/>
      </c>
      <c r="D11" s="29">
        <f>IF($C11="","",Cadets!$B6)</f>
        <v/>
      </c>
      <c r="E11" s="29">
        <f>IF($C11="","",Cadets!$H6)</f>
        <v/>
      </c>
      <c r="F11" s="29">
        <f>IF($C11="","",_xlfn.LET(_xlpm.c,IFERROR(INDEX(rngEPcode,MATCH(cfgGradeSheetExam,IFERROR(rngEPseq+0,-1),0)),""),IF(COUNTIFS(nrES_PID,Cadets!$B6,nrES_Code,_xlpm.c,nrES_Att,1)=0,"",SUMIFS(nrES_Raw,nrES_PID,Cadets!$B6,nrES_Code,_xlpm.c,nrES_Att,1))))</f>
        <v/>
      </c>
      <c r="G11" s="29">
        <f>IF($C11="","",_xlfn.LET(_xlpm.c,IFERROR(INDEX(rngEPcode,MATCH(cfgGradeSheetExam,IFERROR(rngEPseq+0,-1),0)),""),IF(COUNTIFS(nrES_PID,Cadets!$B6,nrES_Code,_xlpm.c,nrES_Final,"Yes",nrES_Rec,"&lt;&gt;")=0,"",SUMIFS(nrES_Rec,nrES_PID,Cadets!$B6,nrES_Code,_xlpm.c,nrES_Final,"Yes"))))</f>
        <v/>
      </c>
      <c r="H11" s="29">
        <f>IF(OR($C11="",$G11=""),"",IF($G11&gt;=cfgPassingScore,"Pass","FAIL"))</f>
        <v/>
      </c>
      <c r="I11" s="29">
        <f>IF($C11="","",_xlfn.LET(_xlpm.c,IFERROR(INDEX(rngEPcode,MATCH(cfgGradeSheetExam,IFERROR(rngEPseq+0,-1),0)),""),IF(COUNTIFS(nrES_PID,Cadets!$B6,nrES_Code,_xlpm.c,nrES_Att,2)&gt;0,"Retested","")))</f>
        <v/>
      </c>
    </row>
    <row r="12">
      <c r="B12" s="29">
        <f>IF(Cadets!$B7="","",ROW()-10)</f>
        <v/>
      </c>
      <c r="C12" s="28">
        <f>IF(Cadets!$B7="","",Cadets!$F7)</f>
        <v/>
      </c>
      <c r="D12" s="29">
        <f>IF($C12="","",Cadets!$B7)</f>
        <v/>
      </c>
      <c r="E12" s="29">
        <f>IF($C12="","",Cadets!$H7)</f>
        <v/>
      </c>
      <c r="F12" s="29">
        <f>IF($C12="","",_xlfn.LET(_xlpm.c,IFERROR(INDEX(rngEPcode,MATCH(cfgGradeSheetExam,IFERROR(rngEPseq+0,-1),0)),""),IF(COUNTIFS(nrES_PID,Cadets!$B7,nrES_Code,_xlpm.c,nrES_Att,1)=0,"",SUMIFS(nrES_Raw,nrES_PID,Cadets!$B7,nrES_Code,_xlpm.c,nrES_Att,1))))</f>
        <v/>
      </c>
      <c r="G12" s="29">
        <f>IF($C12="","",_xlfn.LET(_xlpm.c,IFERROR(INDEX(rngEPcode,MATCH(cfgGradeSheetExam,IFERROR(rngEPseq+0,-1),0)),""),IF(COUNTIFS(nrES_PID,Cadets!$B7,nrES_Code,_xlpm.c,nrES_Final,"Yes",nrES_Rec,"&lt;&gt;")=0,"",SUMIFS(nrES_Rec,nrES_PID,Cadets!$B7,nrES_Code,_xlpm.c,nrES_Final,"Yes"))))</f>
        <v/>
      </c>
      <c r="H12" s="29">
        <f>IF(OR($C12="",$G12=""),"",IF($G12&gt;=cfgPassingScore,"Pass","FAIL"))</f>
        <v/>
      </c>
      <c r="I12" s="29">
        <f>IF($C12="","",_xlfn.LET(_xlpm.c,IFERROR(INDEX(rngEPcode,MATCH(cfgGradeSheetExam,IFERROR(rngEPseq+0,-1),0)),""),IF(COUNTIFS(nrES_PID,Cadets!$B7,nrES_Code,_xlpm.c,nrES_Att,2)&gt;0,"Retested","")))</f>
        <v/>
      </c>
    </row>
    <row r="13">
      <c r="B13" s="29">
        <f>IF(Cadets!$B8="","",ROW()-10)</f>
        <v/>
      </c>
      <c r="C13" s="28">
        <f>IF(Cadets!$B8="","",Cadets!$F8)</f>
        <v/>
      </c>
      <c r="D13" s="29">
        <f>IF($C13="","",Cadets!$B8)</f>
        <v/>
      </c>
      <c r="E13" s="29">
        <f>IF($C13="","",Cadets!$H8)</f>
        <v/>
      </c>
      <c r="F13" s="29">
        <f>IF($C13="","",_xlfn.LET(_xlpm.c,IFERROR(INDEX(rngEPcode,MATCH(cfgGradeSheetExam,IFERROR(rngEPseq+0,-1),0)),""),IF(COUNTIFS(nrES_PID,Cadets!$B8,nrES_Code,_xlpm.c,nrES_Att,1)=0,"",SUMIFS(nrES_Raw,nrES_PID,Cadets!$B8,nrES_Code,_xlpm.c,nrES_Att,1))))</f>
        <v/>
      </c>
      <c r="G13" s="29">
        <f>IF($C13="","",_xlfn.LET(_xlpm.c,IFERROR(INDEX(rngEPcode,MATCH(cfgGradeSheetExam,IFERROR(rngEPseq+0,-1),0)),""),IF(COUNTIFS(nrES_PID,Cadets!$B8,nrES_Code,_xlpm.c,nrES_Final,"Yes",nrES_Rec,"&lt;&gt;")=0,"",SUMIFS(nrES_Rec,nrES_PID,Cadets!$B8,nrES_Code,_xlpm.c,nrES_Final,"Yes"))))</f>
        <v/>
      </c>
      <c r="H13" s="29">
        <f>IF(OR($C13="",$G13=""),"",IF($G13&gt;=cfgPassingScore,"Pass","FAIL"))</f>
        <v/>
      </c>
      <c r="I13" s="29">
        <f>IF($C13="","",_xlfn.LET(_xlpm.c,IFERROR(INDEX(rngEPcode,MATCH(cfgGradeSheetExam,IFERROR(rngEPseq+0,-1),0)),""),IF(COUNTIFS(nrES_PID,Cadets!$B8,nrES_Code,_xlpm.c,nrES_Att,2)&gt;0,"Retested","")))</f>
        <v/>
      </c>
    </row>
    <row r="14">
      <c r="B14" s="29">
        <f>IF(Cadets!$B9="","",ROW()-10)</f>
        <v/>
      </c>
      <c r="C14" s="28">
        <f>IF(Cadets!$B9="","",Cadets!$F9)</f>
        <v/>
      </c>
      <c r="D14" s="29">
        <f>IF($C14="","",Cadets!$B9)</f>
        <v/>
      </c>
      <c r="E14" s="29">
        <f>IF($C14="","",Cadets!$H9)</f>
        <v/>
      </c>
      <c r="F14" s="29">
        <f>IF($C14="","",_xlfn.LET(_xlpm.c,IFERROR(INDEX(rngEPcode,MATCH(cfgGradeSheetExam,IFERROR(rngEPseq+0,-1),0)),""),IF(COUNTIFS(nrES_PID,Cadets!$B9,nrES_Code,_xlpm.c,nrES_Att,1)=0,"",SUMIFS(nrES_Raw,nrES_PID,Cadets!$B9,nrES_Code,_xlpm.c,nrES_Att,1))))</f>
        <v/>
      </c>
      <c r="G14" s="29">
        <f>IF($C14="","",_xlfn.LET(_xlpm.c,IFERROR(INDEX(rngEPcode,MATCH(cfgGradeSheetExam,IFERROR(rngEPseq+0,-1),0)),""),IF(COUNTIFS(nrES_PID,Cadets!$B9,nrES_Code,_xlpm.c,nrES_Final,"Yes",nrES_Rec,"&lt;&gt;")=0,"",SUMIFS(nrES_Rec,nrES_PID,Cadets!$B9,nrES_Code,_xlpm.c,nrES_Final,"Yes"))))</f>
        <v/>
      </c>
      <c r="H14" s="29">
        <f>IF(OR($C14="",$G14=""),"",IF($G14&gt;=cfgPassingScore,"Pass","FAIL"))</f>
        <v/>
      </c>
      <c r="I14" s="29">
        <f>IF($C14="","",_xlfn.LET(_xlpm.c,IFERROR(INDEX(rngEPcode,MATCH(cfgGradeSheetExam,IFERROR(rngEPseq+0,-1),0)),""),IF(COUNTIFS(nrES_PID,Cadets!$B9,nrES_Code,_xlpm.c,nrES_Att,2)&gt;0,"Retested","")))</f>
        <v/>
      </c>
    </row>
    <row r="15">
      <c r="B15" s="29">
        <f>IF(Cadets!$B10="","",ROW()-10)</f>
        <v/>
      </c>
      <c r="C15" s="28">
        <f>IF(Cadets!$B10="","",Cadets!$F10)</f>
        <v/>
      </c>
      <c r="D15" s="29">
        <f>IF($C15="","",Cadets!$B10)</f>
        <v/>
      </c>
      <c r="E15" s="29">
        <f>IF($C15="","",Cadets!$H10)</f>
        <v/>
      </c>
      <c r="F15" s="29">
        <f>IF($C15="","",_xlfn.LET(_xlpm.c,IFERROR(INDEX(rngEPcode,MATCH(cfgGradeSheetExam,IFERROR(rngEPseq+0,-1),0)),""),IF(COUNTIFS(nrES_PID,Cadets!$B10,nrES_Code,_xlpm.c,nrES_Att,1)=0,"",SUMIFS(nrES_Raw,nrES_PID,Cadets!$B10,nrES_Code,_xlpm.c,nrES_Att,1))))</f>
        <v/>
      </c>
      <c r="G15" s="29">
        <f>IF($C15="","",_xlfn.LET(_xlpm.c,IFERROR(INDEX(rngEPcode,MATCH(cfgGradeSheetExam,IFERROR(rngEPseq+0,-1),0)),""),IF(COUNTIFS(nrES_PID,Cadets!$B10,nrES_Code,_xlpm.c,nrES_Final,"Yes",nrES_Rec,"&lt;&gt;")=0,"",SUMIFS(nrES_Rec,nrES_PID,Cadets!$B10,nrES_Code,_xlpm.c,nrES_Final,"Yes"))))</f>
        <v/>
      </c>
      <c r="H15" s="29">
        <f>IF(OR($C15="",$G15=""),"",IF($G15&gt;=cfgPassingScore,"Pass","FAIL"))</f>
        <v/>
      </c>
      <c r="I15" s="29">
        <f>IF($C15="","",_xlfn.LET(_xlpm.c,IFERROR(INDEX(rngEPcode,MATCH(cfgGradeSheetExam,IFERROR(rngEPseq+0,-1),0)),""),IF(COUNTIFS(nrES_PID,Cadets!$B10,nrES_Code,_xlpm.c,nrES_Att,2)&gt;0,"Retested","")))</f>
        <v/>
      </c>
    </row>
    <row r="16">
      <c r="B16" s="29">
        <f>IF(Cadets!$B11="","",ROW()-10)</f>
        <v/>
      </c>
      <c r="C16" s="28">
        <f>IF(Cadets!$B11="","",Cadets!$F11)</f>
        <v/>
      </c>
      <c r="D16" s="29">
        <f>IF($C16="","",Cadets!$B11)</f>
        <v/>
      </c>
      <c r="E16" s="29">
        <f>IF($C16="","",Cadets!$H11)</f>
        <v/>
      </c>
      <c r="F16" s="29">
        <f>IF($C16="","",_xlfn.LET(_xlpm.c,IFERROR(INDEX(rngEPcode,MATCH(cfgGradeSheetExam,IFERROR(rngEPseq+0,-1),0)),""),IF(COUNTIFS(nrES_PID,Cadets!$B11,nrES_Code,_xlpm.c,nrES_Att,1)=0,"",SUMIFS(nrES_Raw,nrES_PID,Cadets!$B11,nrES_Code,_xlpm.c,nrES_Att,1))))</f>
        <v/>
      </c>
      <c r="G16" s="29">
        <f>IF($C16="","",_xlfn.LET(_xlpm.c,IFERROR(INDEX(rngEPcode,MATCH(cfgGradeSheetExam,IFERROR(rngEPseq+0,-1),0)),""),IF(COUNTIFS(nrES_PID,Cadets!$B11,nrES_Code,_xlpm.c,nrES_Final,"Yes",nrES_Rec,"&lt;&gt;")=0,"",SUMIFS(nrES_Rec,nrES_PID,Cadets!$B11,nrES_Code,_xlpm.c,nrES_Final,"Yes"))))</f>
        <v/>
      </c>
      <c r="H16" s="29">
        <f>IF(OR($C16="",$G16=""),"",IF($G16&gt;=cfgPassingScore,"Pass","FAIL"))</f>
        <v/>
      </c>
      <c r="I16" s="29">
        <f>IF($C16="","",_xlfn.LET(_xlpm.c,IFERROR(INDEX(rngEPcode,MATCH(cfgGradeSheetExam,IFERROR(rngEPseq+0,-1),0)),""),IF(COUNTIFS(nrES_PID,Cadets!$B11,nrES_Code,_xlpm.c,nrES_Att,2)&gt;0,"Retested","")))</f>
        <v/>
      </c>
    </row>
    <row r="17">
      <c r="B17" s="29">
        <f>IF(Cadets!$B12="","",ROW()-10)</f>
        <v/>
      </c>
      <c r="C17" s="28">
        <f>IF(Cadets!$B12="","",Cadets!$F12)</f>
        <v/>
      </c>
      <c r="D17" s="29">
        <f>IF($C17="","",Cadets!$B12)</f>
        <v/>
      </c>
      <c r="E17" s="29">
        <f>IF($C17="","",Cadets!$H12)</f>
        <v/>
      </c>
      <c r="F17" s="29">
        <f>IF($C17="","",_xlfn.LET(_xlpm.c,IFERROR(INDEX(rngEPcode,MATCH(cfgGradeSheetExam,IFERROR(rngEPseq+0,-1),0)),""),IF(COUNTIFS(nrES_PID,Cadets!$B12,nrES_Code,_xlpm.c,nrES_Att,1)=0,"",SUMIFS(nrES_Raw,nrES_PID,Cadets!$B12,nrES_Code,_xlpm.c,nrES_Att,1))))</f>
        <v/>
      </c>
      <c r="G17" s="29">
        <f>IF($C17="","",_xlfn.LET(_xlpm.c,IFERROR(INDEX(rngEPcode,MATCH(cfgGradeSheetExam,IFERROR(rngEPseq+0,-1),0)),""),IF(COUNTIFS(nrES_PID,Cadets!$B12,nrES_Code,_xlpm.c,nrES_Final,"Yes",nrES_Rec,"&lt;&gt;")=0,"",SUMIFS(nrES_Rec,nrES_PID,Cadets!$B12,nrES_Code,_xlpm.c,nrES_Final,"Yes"))))</f>
        <v/>
      </c>
      <c r="H17" s="29">
        <f>IF(OR($C17="",$G17=""),"",IF($G17&gt;=cfgPassingScore,"Pass","FAIL"))</f>
        <v/>
      </c>
      <c r="I17" s="29">
        <f>IF($C17="","",_xlfn.LET(_xlpm.c,IFERROR(INDEX(rngEPcode,MATCH(cfgGradeSheetExam,IFERROR(rngEPseq+0,-1),0)),""),IF(COUNTIFS(nrES_PID,Cadets!$B12,nrES_Code,_xlpm.c,nrES_Att,2)&gt;0,"Retested","")))</f>
        <v/>
      </c>
    </row>
    <row r="18">
      <c r="B18" s="29">
        <f>IF(Cadets!$B13="","",ROW()-10)</f>
        <v/>
      </c>
      <c r="C18" s="28">
        <f>IF(Cadets!$B13="","",Cadets!$F13)</f>
        <v/>
      </c>
      <c r="D18" s="29">
        <f>IF($C18="","",Cadets!$B13)</f>
        <v/>
      </c>
      <c r="E18" s="29">
        <f>IF($C18="","",Cadets!$H13)</f>
        <v/>
      </c>
      <c r="F18" s="29">
        <f>IF($C18="","",_xlfn.LET(_xlpm.c,IFERROR(INDEX(rngEPcode,MATCH(cfgGradeSheetExam,IFERROR(rngEPseq+0,-1),0)),""),IF(COUNTIFS(nrES_PID,Cadets!$B13,nrES_Code,_xlpm.c,nrES_Att,1)=0,"",SUMIFS(nrES_Raw,nrES_PID,Cadets!$B13,nrES_Code,_xlpm.c,nrES_Att,1))))</f>
        <v/>
      </c>
      <c r="G18" s="29">
        <f>IF($C18="","",_xlfn.LET(_xlpm.c,IFERROR(INDEX(rngEPcode,MATCH(cfgGradeSheetExam,IFERROR(rngEPseq+0,-1),0)),""),IF(COUNTIFS(nrES_PID,Cadets!$B13,nrES_Code,_xlpm.c,nrES_Final,"Yes",nrES_Rec,"&lt;&gt;")=0,"",SUMIFS(nrES_Rec,nrES_PID,Cadets!$B13,nrES_Code,_xlpm.c,nrES_Final,"Yes"))))</f>
        <v/>
      </c>
      <c r="H18" s="29">
        <f>IF(OR($C18="",$G18=""),"",IF($G18&gt;=cfgPassingScore,"Pass","FAIL"))</f>
        <v/>
      </c>
      <c r="I18" s="29">
        <f>IF($C18="","",_xlfn.LET(_xlpm.c,IFERROR(INDEX(rngEPcode,MATCH(cfgGradeSheetExam,IFERROR(rngEPseq+0,-1),0)),""),IF(COUNTIFS(nrES_PID,Cadets!$B13,nrES_Code,_xlpm.c,nrES_Att,2)&gt;0,"Retested","")))</f>
        <v/>
      </c>
    </row>
    <row r="19">
      <c r="B19" s="29">
        <f>IF(Cadets!$B14="","",ROW()-10)</f>
        <v/>
      </c>
      <c r="C19" s="28">
        <f>IF(Cadets!$B14="","",Cadets!$F14)</f>
        <v/>
      </c>
      <c r="D19" s="29">
        <f>IF($C19="","",Cadets!$B14)</f>
        <v/>
      </c>
      <c r="E19" s="29">
        <f>IF($C19="","",Cadets!$H14)</f>
        <v/>
      </c>
      <c r="F19" s="29">
        <f>IF($C19="","",_xlfn.LET(_xlpm.c,IFERROR(INDEX(rngEPcode,MATCH(cfgGradeSheetExam,IFERROR(rngEPseq+0,-1),0)),""),IF(COUNTIFS(nrES_PID,Cadets!$B14,nrES_Code,_xlpm.c,nrES_Att,1)=0,"",SUMIFS(nrES_Raw,nrES_PID,Cadets!$B14,nrES_Code,_xlpm.c,nrES_Att,1))))</f>
        <v/>
      </c>
      <c r="G19" s="29">
        <f>IF($C19="","",_xlfn.LET(_xlpm.c,IFERROR(INDEX(rngEPcode,MATCH(cfgGradeSheetExam,IFERROR(rngEPseq+0,-1),0)),""),IF(COUNTIFS(nrES_PID,Cadets!$B14,nrES_Code,_xlpm.c,nrES_Final,"Yes",nrES_Rec,"&lt;&gt;")=0,"",SUMIFS(nrES_Rec,nrES_PID,Cadets!$B14,nrES_Code,_xlpm.c,nrES_Final,"Yes"))))</f>
        <v/>
      </c>
      <c r="H19" s="29">
        <f>IF(OR($C19="",$G19=""),"",IF($G19&gt;=cfgPassingScore,"Pass","FAIL"))</f>
        <v/>
      </c>
      <c r="I19" s="29">
        <f>IF($C19="","",_xlfn.LET(_xlpm.c,IFERROR(INDEX(rngEPcode,MATCH(cfgGradeSheetExam,IFERROR(rngEPseq+0,-1),0)),""),IF(COUNTIFS(nrES_PID,Cadets!$B14,nrES_Code,_xlpm.c,nrES_Att,2)&gt;0,"Retested","")))</f>
        <v/>
      </c>
    </row>
    <row r="20">
      <c r="B20" s="29">
        <f>IF(Cadets!$B15="","",ROW()-10)</f>
        <v/>
      </c>
      <c r="C20" s="28">
        <f>IF(Cadets!$B15="","",Cadets!$F15)</f>
        <v/>
      </c>
      <c r="D20" s="29">
        <f>IF($C20="","",Cadets!$B15)</f>
        <v/>
      </c>
      <c r="E20" s="29">
        <f>IF($C20="","",Cadets!$H15)</f>
        <v/>
      </c>
      <c r="F20" s="29">
        <f>IF($C20="","",_xlfn.LET(_xlpm.c,IFERROR(INDEX(rngEPcode,MATCH(cfgGradeSheetExam,IFERROR(rngEPseq+0,-1),0)),""),IF(COUNTIFS(nrES_PID,Cadets!$B15,nrES_Code,_xlpm.c,nrES_Att,1)=0,"",SUMIFS(nrES_Raw,nrES_PID,Cadets!$B15,nrES_Code,_xlpm.c,nrES_Att,1))))</f>
        <v/>
      </c>
      <c r="G20" s="29">
        <f>IF($C20="","",_xlfn.LET(_xlpm.c,IFERROR(INDEX(rngEPcode,MATCH(cfgGradeSheetExam,IFERROR(rngEPseq+0,-1),0)),""),IF(COUNTIFS(nrES_PID,Cadets!$B15,nrES_Code,_xlpm.c,nrES_Final,"Yes",nrES_Rec,"&lt;&gt;")=0,"",SUMIFS(nrES_Rec,nrES_PID,Cadets!$B15,nrES_Code,_xlpm.c,nrES_Final,"Yes"))))</f>
        <v/>
      </c>
      <c r="H20" s="29">
        <f>IF(OR($C20="",$G20=""),"",IF($G20&gt;=cfgPassingScore,"Pass","FAIL"))</f>
        <v/>
      </c>
      <c r="I20" s="29">
        <f>IF($C20="","",_xlfn.LET(_xlpm.c,IFERROR(INDEX(rngEPcode,MATCH(cfgGradeSheetExam,IFERROR(rngEPseq+0,-1),0)),""),IF(COUNTIFS(nrES_PID,Cadets!$B15,nrES_Code,_xlpm.c,nrES_Att,2)&gt;0,"Retested","")))</f>
        <v/>
      </c>
    </row>
    <row r="21">
      <c r="B21" s="29">
        <f>IF(Cadets!$B16="","",ROW()-10)</f>
        <v/>
      </c>
      <c r="C21" s="28">
        <f>IF(Cadets!$B16="","",Cadets!$F16)</f>
        <v/>
      </c>
      <c r="D21" s="29">
        <f>IF($C21="","",Cadets!$B16)</f>
        <v/>
      </c>
      <c r="E21" s="29">
        <f>IF($C21="","",Cadets!$H16)</f>
        <v/>
      </c>
      <c r="F21" s="29">
        <f>IF($C21="","",_xlfn.LET(_xlpm.c,IFERROR(INDEX(rngEPcode,MATCH(cfgGradeSheetExam,IFERROR(rngEPseq+0,-1),0)),""),IF(COUNTIFS(nrES_PID,Cadets!$B16,nrES_Code,_xlpm.c,nrES_Att,1)=0,"",SUMIFS(nrES_Raw,nrES_PID,Cadets!$B16,nrES_Code,_xlpm.c,nrES_Att,1))))</f>
        <v/>
      </c>
      <c r="G21" s="29">
        <f>IF($C21="","",_xlfn.LET(_xlpm.c,IFERROR(INDEX(rngEPcode,MATCH(cfgGradeSheetExam,IFERROR(rngEPseq+0,-1),0)),""),IF(COUNTIFS(nrES_PID,Cadets!$B16,nrES_Code,_xlpm.c,nrES_Final,"Yes",nrES_Rec,"&lt;&gt;")=0,"",SUMIFS(nrES_Rec,nrES_PID,Cadets!$B16,nrES_Code,_xlpm.c,nrES_Final,"Yes"))))</f>
        <v/>
      </c>
      <c r="H21" s="29">
        <f>IF(OR($C21="",$G21=""),"",IF($G21&gt;=cfgPassingScore,"Pass","FAIL"))</f>
        <v/>
      </c>
      <c r="I21" s="29">
        <f>IF($C21="","",_xlfn.LET(_xlpm.c,IFERROR(INDEX(rngEPcode,MATCH(cfgGradeSheetExam,IFERROR(rngEPseq+0,-1),0)),""),IF(COUNTIFS(nrES_PID,Cadets!$B16,nrES_Code,_xlpm.c,nrES_Att,2)&gt;0,"Retested","")))</f>
        <v/>
      </c>
    </row>
    <row r="22">
      <c r="B22" s="29">
        <f>IF(Cadets!$B17="","",ROW()-10)</f>
        <v/>
      </c>
      <c r="C22" s="28">
        <f>IF(Cadets!$B17="","",Cadets!$F17)</f>
        <v/>
      </c>
      <c r="D22" s="29">
        <f>IF($C22="","",Cadets!$B17)</f>
        <v/>
      </c>
      <c r="E22" s="29">
        <f>IF($C22="","",Cadets!$H17)</f>
        <v/>
      </c>
      <c r="F22" s="29">
        <f>IF($C22="","",_xlfn.LET(_xlpm.c,IFERROR(INDEX(rngEPcode,MATCH(cfgGradeSheetExam,IFERROR(rngEPseq+0,-1),0)),""),IF(COUNTIFS(nrES_PID,Cadets!$B17,nrES_Code,_xlpm.c,nrES_Att,1)=0,"",SUMIFS(nrES_Raw,nrES_PID,Cadets!$B17,nrES_Code,_xlpm.c,nrES_Att,1))))</f>
        <v/>
      </c>
      <c r="G22" s="29">
        <f>IF($C22="","",_xlfn.LET(_xlpm.c,IFERROR(INDEX(rngEPcode,MATCH(cfgGradeSheetExam,IFERROR(rngEPseq+0,-1),0)),""),IF(COUNTIFS(nrES_PID,Cadets!$B17,nrES_Code,_xlpm.c,nrES_Final,"Yes",nrES_Rec,"&lt;&gt;")=0,"",SUMIFS(nrES_Rec,nrES_PID,Cadets!$B17,nrES_Code,_xlpm.c,nrES_Final,"Yes"))))</f>
        <v/>
      </c>
      <c r="H22" s="29">
        <f>IF(OR($C22="",$G22=""),"",IF($G22&gt;=cfgPassingScore,"Pass","FAIL"))</f>
        <v/>
      </c>
      <c r="I22" s="29">
        <f>IF($C22="","",_xlfn.LET(_xlpm.c,IFERROR(INDEX(rngEPcode,MATCH(cfgGradeSheetExam,IFERROR(rngEPseq+0,-1),0)),""),IF(COUNTIFS(nrES_PID,Cadets!$B17,nrES_Code,_xlpm.c,nrES_Att,2)&gt;0,"Retested","")))</f>
        <v/>
      </c>
    </row>
    <row r="23">
      <c r="B23" s="29">
        <f>IF(Cadets!$B18="","",ROW()-10)</f>
        <v/>
      </c>
      <c r="C23" s="28">
        <f>IF(Cadets!$B18="","",Cadets!$F18)</f>
        <v/>
      </c>
      <c r="D23" s="29">
        <f>IF($C23="","",Cadets!$B18)</f>
        <v/>
      </c>
      <c r="E23" s="29">
        <f>IF($C23="","",Cadets!$H18)</f>
        <v/>
      </c>
      <c r="F23" s="29">
        <f>IF($C23="","",_xlfn.LET(_xlpm.c,IFERROR(INDEX(rngEPcode,MATCH(cfgGradeSheetExam,IFERROR(rngEPseq+0,-1),0)),""),IF(COUNTIFS(nrES_PID,Cadets!$B18,nrES_Code,_xlpm.c,nrES_Att,1)=0,"",SUMIFS(nrES_Raw,nrES_PID,Cadets!$B18,nrES_Code,_xlpm.c,nrES_Att,1))))</f>
        <v/>
      </c>
      <c r="G23" s="29">
        <f>IF($C23="","",_xlfn.LET(_xlpm.c,IFERROR(INDEX(rngEPcode,MATCH(cfgGradeSheetExam,IFERROR(rngEPseq+0,-1),0)),""),IF(COUNTIFS(nrES_PID,Cadets!$B18,nrES_Code,_xlpm.c,nrES_Final,"Yes",nrES_Rec,"&lt;&gt;")=0,"",SUMIFS(nrES_Rec,nrES_PID,Cadets!$B18,nrES_Code,_xlpm.c,nrES_Final,"Yes"))))</f>
        <v/>
      </c>
      <c r="H23" s="29">
        <f>IF(OR($C23="",$G23=""),"",IF($G23&gt;=cfgPassingScore,"Pass","FAIL"))</f>
        <v/>
      </c>
      <c r="I23" s="29">
        <f>IF($C23="","",_xlfn.LET(_xlpm.c,IFERROR(INDEX(rngEPcode,MATCH(cfgGradeSheetExam,IFERROR(rngEPseq+0,-1),0)),""),IF(COUNTIFS(nrES_PID,Cadets!$B18,nrES_Code,_xlpm.c,nrES_Att,2)&gt;0,"Retested","")))</f>
        <v/>
      </c>
    </row>
    <row r="24">
      <c r="B24" s="29">
        <f>IF(Cadets!$B19="","",ROW()-10)</f>
        <v/>
      </c>
      <c r="C24" s="28">
        <f>IF(Cadets!$B19="","",Cadets!$F19)</f>
        <v/>
      </c>
      <c r="D24" s="29">
        <f>IF($C24="","",Cadets!$B19)</f>
        <v/>
      </c>
      <c r="E24" s="29">
        <f>IF($C24="","",Cadets!$H19)</f>
        <v/>
      </c>
      <c r="F24" s="29">
        <f>IF($C24="","",_xlfn.LET(_xlpm.c,IFERROR(INDEX(rngEPcode,MATCH(cfgGradeSheetExam,IFERROR(rngEPseq+0,-1),0)),""),IF(COUNTIFS(nrES_PID,Cadets!$B19,nrES_Code,_xlpm.c,nrES_Att,1)=0,"",SUMIFS(nrES_Raw,nrES_PID,Cadets!$B19,nrES_Code,_xlpm.c,nrES_Att,1))))</f>
        <v/>
      </c>
      <c r="G24" s="29">
        <f>IF($C24="","",_xlfn.LET(_xlpm.c,IFERROR(INDEX(rngEPcode,MATCH(cfgGradeSheetExam,IFERROR(rngEPseq+0,-1),0)),""),IF(COUNTIFS(nrES_PID,Cadets!$B19,nrES_Code,_xlpm.c,nrES_Final,"Yes",nrES_Rec,"&lt;&gt;")=0,"",SUMIFS(nrES_Rec,nrES_PID,Cadets!$B19,nrES_Code,_xlpm.c,nrES_Final,"Yes"))))</f>
        <v/>
      </c>
      <c r="H24" s="29">
        <f>IF(OR($C24="",$G24=""),"",IF($G24&gt;=cfgPassingScore,"Pass","FAIL"))</f>
        <v/>
      </c>
      <c r="I24" s="29">
        <f>IF($C24="","",_xlfn.LET(_xlpm.c,IFERROR(INDEX(rngEPcode,MATCH(cfgGradeSheetExam,IFERROR(rngEPseq+0,-1),0)),""),IF(COUNTIFS(nrES_PID,Cadets!$B19,nrES_Code,_xlpm.c,nrES_Att,2)&gt;0,"Retested","")))</f>
        <v/>
      </c>
    </row>
    <row r="25">
      <c r="B25" s="29">
        <f>IF(Cadets!$B20="","",ROW()-10)</f>
        <v/>
      </c>
      <c r="C25" s="28">
        <f>IF(Cadets!$B20="","",Cadets!$F20)</f>
        <v/>
      </c>
      <c r="D25" s="29">
        <f>IF($C25="","",Cadets!$B20)</f>
        <v/>
      </c>
      <c r="E25" s="29">
        <f>IF($C25="","",Cadets!$H20)</f>
        <v/>
      </c>
      <c r="F25" s="29">
        <f>IF($C25="","",_xlfn.LET(_xlpm.c,IFERROR(INDEX(rngEPcode,MATCH(cfgGradeSheetExam,IFERROR(rngEPseq+0,-1),0)),""),IF(COUNTIFS(nrES_PID,Cadets!$B20,nrES_Code,_xlpm.c,nrES_Att,1)=0,"",SUMIFS(nrES_Raw,nrES_PID,Cadets!$B20,nrES_Code,_xlpm.c,nrES_Att,1))))</f>
        <v/>
      </c>
      <c r="G25" s="29">
        <f>IF($C25="","",_xlfn.LET(_xlpm.c,IFERROR(INDEX(rngEPcode,MATCH(cfgGradeSheetExam,IFERROR(rngEPseq+0,-1),0)),""),IF(COUNTIFS(nrES_PID,Cadets!$B20,nrES_Code,_xlpm.c,nrES_Final,"Yes",nrES_Rec,"&lt;&gt;")=0,"",SUMIFS(nrES_Rec,nrES_PID,Cadets!$B20,nrES_Code,_xlpm.c,nrES_Final,"Yes"))))</f>
        <v/>
      </c>
      <c r="H25" s="29">
        <f>IF(OR($C25="",$G25=""),"",IF($G25&gt;=cfgPassingScore,"Pass","FAIL"))</f>
        <v/>
      </c>
      <c r="I25" s="29">
        <f>IF($C25="","",_xlfn.LET(_xlpm.c,IFERROR(INDEX(rngEPcode,MATCH(cfgGradeSheetExam,IFERROR(rngEPseq+0,-1),0)),""),IF(COUNTIFS(nrES_PID,Cadets!$B20,nrES_Code,_xlpm.c,nrES_Att,2)&gt;0,"Retested","")))</f>
        <v/>
      </c>
    </row>
    <row r="26">
      <c r="B26" s="29">
        <f>IF(Cadets!$B21="","",ROW()-10)</f>
        <v/>
      </c>
      <c r="C26" s="28">
        <f>IF(Cadets!$B21="","",Cadets!$F21)</f>
        <v/>
      </c>
      <c r="D26" s="29">
        <f>IF($C26="","",Cadets!$B21)</f>
        <v/>
      </c>
      <c r="E26" s="29">
        <f>IF($C26="","",Cadets!$H21)</f>
        <v/>
      </c>
      <c r="F26" s="29">
        <f>IF($C26="","",_xlfn.LET(_xlpm.c,IFERROR(INDEX(rngEPcode,MATCH(cfgGradeSheetExam,IFERROR(rngEPseq+0,-1),0)),""),IF(COUNTIFS(nrES_PID,Cadets!$B21,nrES_Code,_xlpm.c,nrES_Att,1)=0,"",SUMIFS(nrES_Raw,nrES_PID,Cadets!$B21,nrES_Code,_xlpm.c,nrES_Att,1))))</f>
        <v/>
      </c>
      <c r="G26" s="29">
        <f>IF($C26="","",_xlfn.LET(_xlpm.c,IFERROR(INDEX(rngEPcode,MATCH(cfgGradeSheetExam,IFERROR(rngEPseq+0,-1),0)),""),IF(COUNTIFS(nrES_PID,Cadets!$B21,nrES_Code,_xlpm.c,nrES_Final,"Yes",nrES_Rec,"&lt;&gt;")=0,"",SUMIFS(nrES_Rec,nrES_PID,Cadets!$B21,nrES_Code,_xlpm.c,nrES_Final,"Yes"))))</f>
        <v/>
      </c>
      <c r="H26" s="29">
        <f>IF(OR($C26="",$G26=""),"",IF($G26&gt;=cfgPassingScore,"Pass","FAIL"))</f>
        <v/>
      </c>
      <c r="I26" s="29">
        <f>IF($C26="","",_xlfn.LET(_xlpm.c,IFERROR(INDEX(rngEPcode,MATCH(cfgGradeSheetExam,IFERROR(rngEPseq+0,-1),0)),""),IF(COUNTIFS(nrES_PID,Cadets!$B21,nrES_Code,_xlpm.c,nrES_Att,2)&gt;0,"Retested","")))</f>
        <v/>
      </c>
    </row>
    <row r="27">
      <c r="B27" s="29">
        <f>IF(Cadets!$B22="","",ROW()-10)</f>
        <v/>
      </c>
      <c r="C27" s="28">
        <f>IF(Cadets!$B22="","",Cadets!$F22)</f>
        <v/>
      </c>
      <c r="D27" s="29">
        <f>IF($C27="","",Cadets!$B22)</f>
        <v/>
      </c>
      <c r="E27" s="29">
        <f>IF($C27="","",Cadets!$H22)</f>
        <v/>
      </c>
      <c r="F27" s="29">
        <f>IF($C27="","",_xlfn.LET(_xlpm.c,IFERROR(INDEX(rngEPcode,MATCH(cfgGradeSheetExam,IFERROR(rngEPseq+0,-1),0)),""),IF(COUNTIFS(nrES_PID,Cadets!$B22,nrES_Code,_xlpm.c,nrES_Att,1)=0,"",SUMIFS(nrES_Raw,nrES_PID,Cadets!$B22,nrES_Code,_xlpm.c,nrES_Att,1))))</f>
        <v/>
      </c>
      <c r="G27" s="29">
        <f>IF($C27="","",_xlfn.LET(_xlpm.c,IFERROR(INDEX(rngEPcode,MATCH(cfgGradeSheetExam,IFERROR(rngEPseq+0,-1),0)),""),IF(COUNTIFS(nrES_PID,Cadets!$B22,nrES_Code,_xlpm.c,nrES_Final,"Yes",nrES_Rec,"&lt;&gt;")=0,"",SUMIFS(nrES_Rec,nrES_PID,Cadets!$B22,nrES_Code,_xlpm.c,nrES_Final,"Yes"))))</f>
        <v/>
      </c>
      <c r="H27" s="29">
        <f>IF(OR($C27="",$G27=""),"",IF($G27&gt;=cfgPassingScore,"Pass","FAIL"))</f>
        <v/>
      </c>
      <c r="I27" s="29">
        <f>IF($C27="","",_xlfn.LET(_xlpm.c,IFERROR(INDEX(rngEPcode,MATCH(cfgGradeSheetExam,IFERROR(rngEPseq+0,-1),0)),""),IF(COUNTIFS(nrES_PID,Cadets!$B22,nrES_Code,_xlpm.c,nrES_Att,2)&gt;0,"Retested","")))</f>
        <v/>
      </c>
    </row>
    <row r="28">
      <c r="B28" s="29">
        <f>IF(Cadets!$B23="","",ROW()-10)</f>
        <v/>
      </c>
      <c r="C28" s="28">
        <f>IF(Cadets!$B23="","",Cadets!$F23)</f>
        <v/>
      </c>
      <c r="D28" s="29">
        <f>IF($C28="","",Cadets!$B23)</f>
        <v/>
      </c>
      <c r="E28" s="29">
        <f>IF($C28="","",Cadets!$H23)</f>
        <v/>
      </c>
      <c r="F28" s="29">
        <f>IF($C28="","",_xlfn.LET(_xlpm.c,IFERROR(INDEX(rngEPcode,MATCH(cfgGradeSheetExam,IFERROR(rngEPseq+0,-1),0)),""),IF(COUNTIFS(nrES_PID,Cadets!$B23,nrES_Code,_xlpm.c,nrES_Att,1)=0,"",SUMIFS(nrES_Raw,nrES_PID,Cadets!$B23,nrES_Code,_xlpm.c,nrES_Att,1))))</f>
        <v/>
      </c>
      <c r="G28" s="29">
        <f>IF($C28="","",_xlfn.LET(_xlpm.c,IFERROR(INDEX(rngEPcode,MATCH(cfgGradeSheetExam,IFERROR(rngEPseq+0,-1),0)),""),IF(COUNTIFS(nrES_PID,Cadets!$B23,nrES_Code,_xlpm.c,nrES_Final,"Yes",nrES_Rec,"&lt;&gt;")=0,"",SUMIFS(nrES_Rec,nrES_PID,Cadets!$B23,nrES_Code,_xlpm.c,nrES_Final,"Yes"))))</f>
        <v/>
      </c>
      <c r="H28" s="29">
        <f>IF(OR($C28="",$G28=""),"",IF($G28&gt;=cfgPassingScore,"Pass","FAIL"))</f>
        <v/>
      </c>
      <c r="I28" s="29">
        <f>IF($C28="","",_xlfn.LET(_xlpm.c,IFERROR(INDEX(rngEPcode,MATCH(cfgGradeSheetExam,IFERROR(rngEPseq+0,-1),0)),""),IF(COUNTIFS(nrES_PID,Cadets!$B23,nrES_Code,_xlpm.c,nrES_Att,2)&gt;0,"Retested","")))</f>
        <v/>
      </c>
    </row>
    <row r="29">
      <c r="B29" s="29">
        <f>IF(Cadets!$B24="","",ROW()-10)</f>
        <v/>
      </c>
      <c r="C29" s="28">
        <f>IF(Cadets!$B24="","",Cadets!$F24)</f>
        <v/>
      </c>
      <c r="D29" s="29">
        <f>IF($C29="","",Cadets!$B24)</f>
        <v/>
      </c>
      <c r="E29" s="29">
        <f>IF($C29="","",Cadets!$H24)</f>
        <v/>
      </c>
      <c r="F29" s="29">
        <f>IF($C29="","",_xlfn.LET(_xlpm.c,IFERROR(INDEX(rngEPcode,MATCH(cfgGradeSheetExam,IFERROR(rngEPseq+0,-1),0)),""),IF(COUNTIFS(nrES_PID,Cadets!$B24,nrES_Code,_xlpm.c,nrES_Att,1)=0,"",SUMIFS(nrES_Raw,nrES_PID,Cadets!$B24,nrES_Code,_xlpm.c,nrES_Att,1))))</f>
        <v/>
      </c>
      <c r="G29" s="29">
        <f>IF($C29="","",_xlfn.LET(_xlpm.c,IFERROR(INDEX(rngEPcode,MATCH(cfgGradeSheetExam,IFERROR(rngEPseq+0,-1),0)),""),IF(COUNTIFS(nrES_PID,Cadets!$B24,nrES_Code,_xlpm.c,nrES_Final,"Yes",nrES_Rec,"&lt;&gt;")=0,"",SUMIFS(nrES_Rec,nrES_PID,Cadets!$B24,nrES_Code,_xlpm.c,nrES_Final,"Yes"))))</f>
        <v/>
      </c>
      <c r="H29" s="29">
        <f>IF(OR($C29="",$G29=""),"",IF($G29&gt;=cfgPassingScore,"Pass","FAIL"))</f>
        <v/>
      </c>
      <c r="I29" s="29">
        <f>IF($C29="","",_xlfn.LET(_xlpm.c,IFERROR(INDEX(rngEPcode,MATCH(cfgGradeSheetExam,IFERROR(rngEPseq+0,-1),0)),""),IF(COUNTIFS(nrES_PID,Cadets!$B24,nrES_Code,_xlpm.c,nrES_Att,2)&gt;0,"Retested","")))</f>
        <v/>
      </c>
    </row>
    <row r="30">
      <c r="B30" s="29">
        <f>IF(Cadets!$B25="","",ROW()-10)</f>
        <v/>
      </c>
      <c r="C30" s="28">
        <f>IF(Cadets!$B25="","",Cadets!$F25)</f>
        <v/>
      </c>
      <c r="D30" s="29">
        <f>IF($C30="","",Cadets!$B25)</f>
        <v/>
      </c>
      <c r="E30" s="29">
        <f>IF($C30="","",Cadets!$H25)</f>
        <v/>
      </c>
      <c r="F30" s="29">
        <f>IF($C30="","",_xlfn.LET(_xlpm.c,IFERROR(INDEX(rngEPcode,MATCH(cfgGradeSheetExam,IFERROR(rngEPseq+0,-1),0)),""),IF(COUNTIFS(nrES_PID,Cadets!$B25,nrES_Code,_xlpm.c,nrES_Att,1)=0,"",SUMIFS(nrES_Raw,nrES_PID,Cadets!$B25,nrES_Code,_xlpm.c,nrES_Att,1))))</f>
        <v/>
      </c>
      <c r="G30" s="29">
        <f>IF($C30="","",_xlfn.LET(_xlpm.c,IFERROR(INDEX(rngEPcode,MATCH(cfgGradeSheetExam,IFERROR(rngEPseq+0,-1),0)),""),IF(COUNTIFS(nrES_PID,Cadets!$B25,nrES_Code,_xlpm.c,nrES_Final,"Yes",nrES_Rec,"&lt;&gt;")=0,"",SUMIFS(nrES_Rec,nrES_PID,Cadets!$B25,nrES_Code,_xlpm.c,nrES_Final,"Yes"))))</f>
        <v/>
      </c>
      <c r="H30" s="29">
        <f>IF(OR($C30="",$G30=""),"",IF($G30&gt;=cfgPassingScore,"Pass","FAIL"))</f>
        <v/>
      </c>
      <c r="I30" s="29">
        <f>IF($C30="","",_xlfn.LET(_xlpm.c,IFERROR(INDEX(rngEPcode,MATCH(cfgGradeSheetExam,IFERROR(rngEPseq+0,-1),0)),""),IF(COUNTIFS(nrES_PID,Cadets!$B25,nrES_Code,_xlpm.c,nrES_Att,2)&gt;0,"Retested","")))</f>
        <v/>
      </c>
    </row>
    <row r="31">
      <c r="B31" s="29">
        <f>IF(Cadets!$B26="","",ROW()-10)</f>
        <v/>
      </c>
      <c r="C31" s="28">
        <f>IF(Cadets!$B26="","",Cadets!$F26)</f>
        <v/>
      </c>
      <c r="D31" s="29">
        <f>IF($C31="","",Cadets!$B26)</f>
        <v/>
      </c>
      <c r="E31" s="29">
        <f>IF($C31="","",Cadets!$H26)</f>
        <v/>
      </c>
      <c r="F31" s="29">
        <f>IF($C31="","",_xlfn.LET(_xlpm.c,IFERROR(INDEX(rngEPcode,MATCH(cfgGradeSheetExam,IFERROR(rngEPseq+0,-1),0)),""),IF(COUNTIFS(nrES_PID,Cadets!$B26,nrES_Code,_xlpm.c,nrES_Att,1)=0,"",SUMIFS(nrES_Raw,nrES_PID,Cadets!$B26,nrES_Code,_xlpm.c,nrES_Att,1))))</f>
        <v/>
      </c>
      <c r="G31" s="29">
        <f>IF($C31="","",_xlfn.LET(_xlpm.c,IFERROR(INDEX(rngEPcode,MATCH(cfgGradeSheetExam,IFERROR(rngEPseq+0,-1),0)),""),IF(COUNTIFS(nrES_PID,Cadets!$B26,nrES_Code,_xlpm.c,nrES_Final,"Yes",nrES_Rec,"&lt;&gt;")=0,"",SUMIFS(nrES_Rec,nrES_PID,Cadets!$B26,nrES_Code,_xlpm.c,nrES_Final,"Yes"))))</f>
        <v/>
      </c>
      <c r="H31" s="29">
        <f>IF(OR($C31="",$G31=""),"",IF($G31&gt;=cfgPassingScore,"Pass","FAIL"))</f>
        <v/>
      </c>
      <c r="I31" s="29">
        <f>IF($C31="","",_xlfn.LET(_xlpm.c,IFERROR(INDEX(rngEPcode,MATCH(cfgGradeSheetExam,IFERROR(rngEPseq+0,-1),0)),""),IF(COUNTIFS(nrES_PID,Cadets!$B26,nrES_Code,_xlpm.c,nrES_Att,2)&gt;0,"Retested","")))</f>
        <v/>
      </c>
    </row>
    <row r="32">
      <c r="B32" s="29">
        <f>IF(Cadets!$B27="","",ROW()-10)</f>
        <v/>
      </c>
      <c r="C32" s="28">
        <f>IF(Cadets!$B27="","",Cadets!$F27)</f>
        <v/>
      </c>
      <c r="D32" s="29">
        <f>IF($C32="","",Cadets!$B27)</f>
        <v/>
      </c>
      <c r="E32" s="29">
        <f>IF($C32="","",Cadets!$H27)</f>
        <v/>
      </c>
      <c r="F32" s="29">
        <f>IF($C32="","",_xlfn.LET(_xlpm.c,IFERROR(INDEX(rngEPcode,MATCH(cfgGradeSheetExam,IFERROR(rngEPseq+0,-1),0)),""),IF(COUNTIFS(nrES_PID,Cadets!$B27,nrES_Code,_xlpm.c,nrES_Att,1)=0,"",SUMIFS(nrES_Raw,nrES_PID,Cadets!$B27,nrES_Code,_xlpm.c,nrES_Att,1))))</f>
        <v/>
      </c>
      <c r="G32" s="29">
        <f>IF($C32="","",_xlfn.LET(_xlpm.c,IFERROR(INDEX(rngEPcode,MATCH(cfgGradeSheetExam,IFERROR(rngEPseq+0,-1),0)),""),IF(COUNTIFS(nrES_PID,Cadets!$B27,nrES_Code,_xlpm.c,nrES_Final,"Yes",nrES_Rec,"&lt;&gt;")=0,"",SUMIFS(nrES_Rec,nrES_PID,Cadets!$B27,nrES_Code,_xlpm.c,nrES_Final,"Yes"))))</f>
        <v/>
      </c>
      <c r="H32" s="29">
        <f>IF(OR($C32="",$G32=""),"",IF($G32&gt;=cfgPassingScore,"Pass","FAIL"))</f>
        <v/>
      </c>
      <c r="I32" s="29">
        <f>IF($C32="","",_xlfn.LET(_xlpm.c,IFERROR(INDEX(rngEPcode,MATCH(cfgGradeSheetExam,IFERROR(rngEPseq+0,-1),0)),""),IF(COUNTIFS(nrES_PID,Cadets!$B27,nrES_Code,_xlpm.c,nrES_Att,2)&gt;0,"Retested","")))</f>
        <v/>
      </c>
    </row>
    <row r="33">
      <c r="B33" s="29">
        <f>IF(Cadets!$B28="","",ROW()-10)</f>
        <v/>
      </c>
      <c r="C33" s="28">
        <f>IF(Cadets!$B28="","",Cadets!$F28)</f>
        <v/>
      </c>
      <c r="D33" s="29">
        <f>IF($C33="","",Cadets!$B28)</f>
        <v/>
      </c>
      <c r="E33" s="29">
        <f>IF($C33="","",Cadets!$H28)</f>
        <v/>
      </c>
      <c r="F33" s="29">
        <f>IF($C33="","",_xlfn.LET(_xlpm.c,IFERROR(INDEX(rngEPcode,MATCH(cfgGradeSheetExam,IFERROR(rngEPseq+0,-1),0)),""),IF(COUNTIFS(nrES_PID,Cadets!$B28,nrES_Code,_xlpm.c,nrES_Att,1)=0,"",SUMIFS(nrES_Raw,nrES_PID,Cadets!$B28,nrES_Code,_xlpm.c,nrES_Att,1))))</f>
        <v/>
      </c>
      <c r="G33" s="29">
        <f>IF($C33="","",_xlfn.LET(_xlpm.c,IFERROR(INDEX(rngEPcode,MATCH(cfgGradeSheetExam,IFERROR(rngEPseq+0,-1),0)),""),IF(COUNTIFS(nrES_PID,Cadets!$B28,nrES_Code,_xlpm.c,nrES_Final,"Yes",nrES_Rec,"&lt;&gt;")=0,"",SUMIFS(nrES_Rec,nrES_PID,Cadets!$B28,nrES_Code,_xlpm.c,nrES_Final,"Yes"))))</f>
        <v/>
      </c>
      <c r="H33" s="29">
        <f>IF(OR($C33="",$G33=""),"",IF($G33&gt;=cfgPassingScore,"Pass","FAIL"))</f>
        <v/>
      </c>
      <c r="I33" s="29">
        <f>IF($C33="","",_xlfn.LET(_xlpm.c,IFERROR(INDEX(rngEPcode,MATCH(cfgGradeSheetExam,IFERROR(rngEPseq+0,-1),0)),""),IF(COUNTIFS(nrES_PID,Cadets!$B28,nrES_Code,_xlpm.c,nrES_Att,2)&gt;0,"Retested","")))</f>
        <v/>
      </c>
    </row>
    <row r="34">
      <c r="B34" s="29">
        <f>IF(Cadets!$B29="","",ROW()-10)</f>
        <v/>
      </c>
      <c r="C34" s="28">
        <f>IF(Cadets!$B29="","",Cadets!$F29)</f>
        <v/>
      </c>
      <c r="D34" s="29">
        <f>IF($C34="","",Cadets!$B29)</f>
        <v/>
      </c>
      <c r="E34" s="29">
        <f>IF($C34="","",Cadets!$H29)</f>
        <v/>
      </c>
      <c r="F34" s="29">
        <f>IF($C34="","",_xlfn.LET(_xlpm.c,IFERROR(INDEX(rngEPcode,MATCH(cfgGradeSheetExam,IFERROR(rngEPseq+0,-1),0)),""),IF(COUNTIFS(nrES_PID,Cadets!$B29,nrES_Code,_xlpm.c,nrES_Att,1)=0,"",SUMIFS(nrES_Raw,nrES_PID,Cadets!$B29,nrES_Code,_xlpm.c,nrES_Att,1))))</f>
        <v/>
      </c>
      <c r="G34" s="29">
        <f>IF($C34="","",_xlfn.LET(_xlpm.c,IFERROR(INDEX(rngEPcode,MATCH(cfgGradeSheetExam,IFERROR(rngEPseq+0,-1),0)),""),IF(COUNTIFS(nrES_PID,Cadets!$B29,nrES_Code,_xlpm.c,nrES_Final,"Yes",nrES_Rec,"&lt;&gt;")=0,"",SUMIFS(nrES_Rec,nrES_PID,Cadets!$B29,nrES_Code,_xlpm.c,nrES_Final,"Yes"))))</f>
        <v/>
      </c>
      <c r="H34" s="29">
        <f>IF(OR($C34="",$G34=""),"",IF($G34&gt;=cfgPassingScore,"Pass","FAIL"))</f>
        <v/>
      </c>
      <c r="I34" s="29">
        <f>IF($C34="","",_xlfn.LET(_xlpm.c,IFERROR(INDEX(rngEPcode,MATCH(cfgGradeSheetExam,IFERROR(rngEPseq+0,-1),0)),""),IF(COUNTIFS(nrES_PID,Cadets!$B29,nrES_Code,_xlpm.c,nrES_Att,2)&gt;0,"Retested","")))</f>
        <v/>
      </c>
    </row>
    <row r="35">
      <c r="B35" s="29">
        <f>IF(Cadets!$B30="","",ROW()-10)</f>
        <v/>
      </c>
      <c r="C35" s="28">
        <f>IF(Cadets!$B30="","",Cadets!$F30)</f>
        <v/>
      </c>
      <c r="D35" s="29">
        <f>IF($C35="","",Cadets!$B30)</f>
        <v/>
      </c>
      <c r="E35" s="29">
        <f>IF($C35="","",Cadets!$H30)</f>
        <v/>
      </c>
      <c r="F35" s="29">
        <f>IF($C35="","",_xlfn.LET(_xlpm.c,IFERROR(INDEX(rngEPcode,MATCH(cfgGradeSheetExam,IFERROR(rngEPseq+0,-1),0)),""),IF(COUNTIFS(nrES_PID,Cadets!$B30,nrES_Code,_xlpm.c,nrES_Att,1)=0,"",SUMIFS(nrES_Raw,nrES_PID,Cadets!$B30,nrES_Code,_xlpm.c,nrES_Att,1))))</f>
        <v/>
      </c>
      <c r="G35" s="29">
        <f>IF($C35="","",_xlfn.LET(_xlpm.c,IFERROR(INDEX(rngEPcode,MATCH(cfgGradeSheetExam,IFERROR(rngEPseq+0,-1),0)),""),IF(COUNTIFS(nrES_PID,Cadets!$B30,nrES_Code,_xlpm.c,nrES_Final,"Yes",nrES_Rec,"&lt;&gt;")=0,"",SUMIFS(nrES_Rec,nrES_PID,Cadets!$B30,nrES_Code,_xlpm.c,nrES_Final,"Yes"))))</f>
        <v/>
      </c>
      <c r="H35" s="29">
        <f>IF(OR($C35="",$G35=""),"",IF($G35&gt;=cfgPassingScore,"Pass","FAIL"))</f>
        <v/>
      </c>
      <c r="I35" s="29">
        <f>IF($C35="","",_xlfn.LET(_xlpm.c,IFERROR(INDEX(rngEPcode,MATCH(cfgGradeSheetExam,IFERROR(rngEPseq+0,-1),0)),""),IF(COUNTIFS(nrES_PID,Cadets!$B30,nrES_Code,_xlpm.c,nrES_Att,2)&gt;0,"Retested","")))</f>
        <v/>
      </c>
    </row>
    <row r="36">
      <c r="B36" s="29">
        <f>IF(Cadets!$B31="","",ROW()-10)</f>
        <v/>
      </c>
      <c r="C36" s="28">
        <f>IF(Cadets!$B31="","",Cadets!$F31)</f>
        <v/>
      </c>
      <c r="D36" s="29">
        <f>IF($C36="","",Cadets!$B31)</f>
        <v/>
      </c>
      <c r="E36" s="29">
        <f>IF($C36="","",Cadets!$H31)</f>
        <v/>
      </c>
      <c r="F36" s="29">
        <f>IF($C36="","",_xlfn.LET(_xlpm.c,IFERROR(INDEX(rngEPcode,MATCH(cfgGradeSheetExam,IFERROR(rngEPseq+0,-1),0)),""),IF(COUNTIFS(nrES_PID,Cadets!$B31,nrES_Code,_xlpm.c,nrES_Att,1)=0,"",SUMIFS(nrES_Raw,nrES_PID,Cadets!$B31,nrES_Code,_xlpm.c,nrES_Att,1))))</f>
        <v/>
      </c>
      <c r="G36" s="29">
        <f>IF($C36="","",_xlfn.LET(_xlpm.c,IFERROR(INDEX(rngEPcode,MATCH(cfgGradeSheetExam,IFERROR(rngEPseq+0,-1),0)),""),IF(COUNTIFS(nrES_PID,Cadets!$B31,nrES_Code,_xlpm.c,nrES_Final,"Yes",nrES_Rec,"&lt;&gt;")=0,"",SUMIFS(nrES_Rec,nrES_PID,Cadets!$B31,nrES_Code,_xlpm.c,nrES_Final,"Yes"))))</f>
        <v/>
      </c>
      <c r="H36" s="29">
        <f>IF(OR($C36="",$G36=""),"",IF($G36&gt;=cfgPassingScore,"Pass","FAIL"))</f>
        <v/>
      </c>
      <c r="I36" s="29">
        <f>IF($C36="","",_xlfn.LET(_xlpm.c,IFERROR(INDEX(rngEPcode,MATCH(cfgGradeSheetExam,IFERROR(rngEPseq+0,-1),0)),""),IF(COUNTIFS(nrES_PID,Cadets!$B31,nrES_Code,_xlpm.c,nrES_Att,2)&gt;0,"Retested","")))</f>
        <v/>
      </c>
    </row>
    <row r="37">
      <c r="B37" s="29">
        <f>IF(Cadets!$B32="","",ROW()-10)</f>
        <v/>
      </c>
      <c r="C37" s="28">
        <f>IF(Cadets!$B32="","",Cadets!$F32)</f>
        <v/>
      </c>
      <c r="D37" s="29">
        <f>IF($C37="","",Cadets!$B32)</f>
        <v/>
      </c>
      <c r="E37" s="29">
        <f>IF($C37="","",Cadets!$H32)</f>
        <v/>
      </c>
      <c r="F37" s="29">
        <f>IF($C37="","",_xlfn.LET(_xlpm.c,IFERROR(INDEX(rngEPcode,MATCH(cfgGradeSheetExam,IFERROR(rngEPseq+0,-1),0)),""),IF(COUNTIFS(nrES_PID,Cadets!$B32,nrES_Code,_xlpm.c,nrES_Att,1)=0,"",SUMIFS(nrES_Raw,nrES_PID,Cadets!$B32,nrES_Code,_xlpm.c,nrES_Att,1))))</f>
        <v/>
      </c>
      <c r="G37" s="29">
        <f>IF($C37="","",_xlfn.LET(_xlpm.c,IFERROR(INDEX(rngEPcode,MATCH(cfgGradeSheetExam,IFERROR(rngEPseq+0,-1),0)),""),IF(COUNTIFS(nrES_PID,Cadets!$B32,nrES_Code,_xlpm.c,nrES_Final,"Yes",nrES_Rec,"&lt;&gt;")=0,"",SUMIFS(nrES_Rec,nrES_PID,Cadets!$B32,nrES_Code,_xlpm.c,nrES_Final,"Yes"))))</f>
        <v/>
      </c>
      <c r="H37" s="29">
        <f>IF(OR($C37="",$G37=""),"",IF($G37&gt;=cfgPassingScore,"Pass","FAIL"))</f>
        <v/>
      </c>
      <c r="I37" s="29">
        <f>IF($C37="","",_xlfn.LET(_xlpm.c,IFERROR(INDEX(rngEPcode,MATCH(cfgGradeSheetExam,IFERROR(rngEPseq+0,-1),0)),""),IF(COUNTIFS(nrES_PID,Cadets!$B32,nrES_Code,_xlpm.c,nrES_Att,2)&gt;0,"Retested","")))</f>
        <v/>
      </c>
    </row>
    <row r="38">
      <c r="B38" s="29">
        <f>IF(Cadets!$B33="","",ROW()-10)</f>
        <v/>
      </c>
      <c r="C38" s="28">
        <f>IF(Cadets!$B33="","",Cadets!$F33)</f>
        <v/>
      </c>
      <c r="D38" s="29">
        <f>IF($C38="","",Cadets!$B33)</f>
        <v/>
      </c>
      <c r="E38" s="29">
        <f>IF($C38="","",Cadets!$H33)</f>
        <v/>
      </c>
      <c r="F38" s="29">
        <f>IF($C38="","",_xlfn.LET(_xlpm.c,IFERROR(INDEX(rngEPcode,MATCH(cfgGradeSheetExam,IFERROR(rngEPseq+0,-1),0)),""),IF(COUNTIFS(nrES_PID,Cadets!$B33,nrES_Code,_xlpm.c,nrES_Att,1)=0,"",SUMIFS(nrES_Raw,nrES_PID,Cadets!$B33,nrES_Code,_xlpm.c,nrES_Att,1))))</f>
        <v/>
      </c>
      <c r="G38" s="29">
        <f>IF($C38="","",_xlfn.LET(_xlpm.c,IFERROR(INDEX(rngEPcode,MATCH(cfgGradeSheetExam,IFERROR(rngEPseq+0,-1),0)),""),IF(COUNTIFS(nrES_PID,Cadets!$B33,nrES_Code,_xlpm.c,nrES_Final,"Yes",nrES_Rec,"&lt;&gt;")=0,"",SUMIFS(nrES_Rec,nrES_PID,Cadets!$B33,nrES_Code,_xlpm.c,nrES_Final,"Yes"))))</f>
        <v/>
      </c>
      <c r="H38" s="29">
        <f>IF(OR($C38="",$G38=""),"",IF($G38&gt;=cfgPassingScore,"Pass","FAIL"))</f>
        <v/>
      </c>
      <c r="I38" s="29">
        <f>IF($C38="","",_xlfn.LET(_xlpm.c,IFERROR(INDEX(rngEPcode,MATCH(cfgGradeSheetExam,IFERROR(rngEPseq+0,-1),0)),""),IF(COUNTIFS(nrES_PID,Cadets!$B33,nrES_Code,_xlpm.c,nrES_Att,2)&gt;0,"Retested","")))</f>
        <v/>
      </c>
    </row>
    <row r="39">
      <c r="B39" s="29">
        <f>IF(Cadets!$B34="","",ROW()-10)</f>
        <v/>
      </c>
      <c r="C39" s="28">
        <f>IF(Cadets!$B34="","",Cadets!$F34)</f>
        <v/>
      </c>
      <c r="D39" s="29">
        <f>IF($C39="","",Cadets!$B34)</f>
        <v/>
      </c>
      <c r="E39" s="29">
        <f>IF($C39="","",Cadets!$H34)</f>
        <v/>
      </c>
      <c r="F39" s="29">
        <f>IF($C39="","",_xlfn.LET(_xlpm.c,IFERROR(INDEX(rngEPcode,MATCH(cfgGradeSheetExam,IFERROR(rngEPseq+0,-1),0)),""),IF(COUNTIFS(nrES_PID,Cadets!$B34,nrES_Code,_xlpm.c,nrES_Att,1)=0,"",SUMIFS(nrES_Raw,nrES_PID,Cadets!$B34,nrES_Code,_xlpm.c,nrES_Att,1))))</f>
        <v/>
      </c>
      <c r="G39" s="29">
        <f>IF($C39="","",_xlfn.LET(_xlpm.c,IFERROR(INDEX(rngEPcode,MATCH(cfgGradeSheetExam,IFERROR(rngEPseq+0,-1),0)),""),IF(COUNTIFS(nrES_PID,Cadets!$B34,nrES_Code,_xlpm.c,nrES_Final,"Yes",nrES_Rec,"&lt;&gt;")=0,"",SUMIFS(nrES_Rec,nrES_PID,Cadets!$B34,nrES_Code,_xlpm.c,nrES_Final,"Yes"))))</f>
        <v/>
      </c>
      <c r="H39" s="29">
        <f>IF(OR($C39="",$G39=""),"",IF($G39&gt;=cfgPassingScore,"Pass","FAIL"))</f>
        <v/>
      </c>
      <c r="I39" s="29">
        <f>IF($C39="","",_xlfn.LET(_xlpm.c,IFERROR(INDEX(rngEPcode,MATCH(cfgGradeSheetExam,IFERROR(rngEPseq+0,-1),0)),""),IF(COUNTIFS(nrES_PID,Cadets!$B34,nrES_Code,_xlpm.c,nrES_Att,2)&gt;0,"Retested","")))</f>
        <v/>
      </c>
    </row>
    <row r="40">
      <c r="B40" s="29">
        <f>IF(Cadets!$B35="","",ROW()-10)</f>
        <v/>
      </c>
      <c r="C40" s="28">
        <f>IF(Cadets!$B35="","",Cadets!$F35)</f>
        <v/>
      </c>
      <c r="D40" s="29">
        <f>IF($C40="","",Cadets!$B35)</f>
        <v/>
      </c>
      <c r="E40" s="29">
        <f>IF($C40="","",Cadets!$H35)</f>
        <v/>
      </c>
      <c r="F40" s="29">
        <f>IF($C40="","",_xlfn.LET(_xlpm.c,IFERROR(INDEX(rngEPcode,MATCH(cfgGradeSheetExam,IFERROR(rngEPseq+0,-1),0)),""),IF(COUNTIFS(nrES_PID,Cadets!$B35,nrES_Code,_xlpm.c,nrES_Att,1)=0,"",SUMIFS(nrES_Raw,nrES_PID,Cadets!$B35,nrES_Code,_xlpm.c,nrES_Att,1))))</f>
        <v/>
      </c>
      <c r="G40" s="29">
        <f>IF($C40="","",_xlfn.LET(_xlpm.c,IFERROR(INDEX(rngEPcode,MATCH(cfgGradeSheetExam,IFERROR(rngEPseq+0,-1),0)),""),IF(COUNTIFS(nrES_PID,Cadets!$B35,nrES_Code,_xlpm.c,nrES_Final,"Yes",nrES_Rec,"&lt;&gt;")=0,"",SUMIFS(nrES_Rec,nrES_PID,Cadets!$B35,nrES_Code,_xlpm.c,nrES_Final,"Yes"))))</f>
        <v/>
      </c>
      <c r="H40" s="29">
        <f>IF(OR($C40="",$G40=""),"",IF($G40&gt;=cfgPassingScore,"Pass","FAIL"))</f>
        <v/>
      </c>
      <c r="I40" s="29">
        <f>IF($C40="","",_xlfn.LET(_xlpm.c,IFERROR(INDEX(rngEPcode,MATCH(cfgGradeSheetExam,IFERROR(rngEPseq+0,-1),0)),""),IF(COUNTIFS(nrES_PID,Cadets!$B35,nrES_Code,_xlpm.c,nrES_Att,2)&gt;0,"Retested","")))</f>
        <v/>
      </c>
    </row>
    <row r="41">
      <c r="B41" s="29">
        <f>IF(Cadets!$B36="","",ROW()-10)</f>
        <v/>
      </c>
      <c r="C41" s="28">
        <f>IF(Cadets!$B36="","",Cadets!$F36)</f>
        <v/>
      </c>
      <c r="D41" s="29">
        <f>IF($C41="","",Cadets!$B36)</f>
        <v/>
      </c>
      <c r="E41" s="29">
        <f>IF($C41="","",Cadets!$H36)</f>
        <v/>
      </c>
      <c r="F41" s="29">
        <f>IF($C41="","",_xlfn.LET(_xlpm.c,IFERROR(INDEX(rngEPcode,MATCH(cfgGradeSheetExam,IFERROR(rngEPseq+0,-1),0)),""),IF(COUNTIFS(nrES_PID,Cadets!$B36,nrES_Code,_xlpm.c,nrES_Att,1)=0,"",SUMIFS(nrES_Raw,nrES_PID,Cadets!$B36,nrES_Code,_xlpm.c,nrES_Att,1))))</f>
        <v/>
      </c>
      <c r="G41" s="29">
        <f>IF($C41="","",_xlfn.LET(_xlpm.c,IFERROR(INDEX(rngEPcode,MATCH(cfgGradeSheetExam,IFERROR(rngEPseq+0,-1),0)),""),IF(COUNTIFS(nrES_PID,Cadets!$B36,nrES_Code,_xlpm.c,nrES_Final,"Yes",nrES_Rec,"&lt;&gt;")=0,"",SUMIFS(nrES_Rec,nrES_PID,Cadets!$B36,nrES_Code,_xlpm.c,nrES_Final,"Yes"))))</f>
        <v/>
      </c>
      <c r="H41" s="29">
        <f>IF(OR($C41="",$G41=""),"",IF($G41&gt;=cfgPassingScore,"Pass","FAIL"))</f>
        <v/>
      </c>
      <c r="I41" s="29">
        <f>IF($C41="","",_xlfn.LET(_xlpm.c,IFERROR(INDEX(rngEPcode,MATCH(cfgGradeSheetExam,IFERROR(rngEPseq+0,-1),0)),""),IF(COUNTIFS(nrES_PID,Cadets!$B36,nrES_Code,_xlpm.c,nrES_Att,2)&gt;0,"Retested","")))</f>
        <v/>
      </c>
    </row>
    <row r="42">
      <c r="B42" s="29">
        <f>IF(Cadets!$B37="","",ROW()-10)</f>
        <v/>
      </c>
      <c r="C42" s="28">
        <f>IF(Cadets!$B37="","",Cadets!$F37)</f>
        <v/>
      </c>
      <c r="D42" s="29">
        <f>IF($C42="","",Cadets!$B37)</f>
        <v/>
      </c>
      <c r="E42" s="29">
        <f>IF($C42="","",Cadets!$H37)</f>
        <v/>
      </c>
      <c r="F42" s="29">
        <f>IF($C42="","",_xlfn.LET(_xlpm.c,IFERROR(INDEX(rngEPcode,MATCH(cfgGradeSheetExam,IFERROR(rngEPseq+0,-1),0)),""),IF(COUNTIFS(nrES_PID,Cadets!$B37,nrES_Code,_xlpm.c,nrES_Att,1)=0,"",SUMIFS(nrES_Raw,nrES_PID,Cadets!$B37,nrES_Code,_xlpm.c,nrES_Att,1))))</f>
        <v/>
      </c>
      <c r="G42" s="29">
        <f>IF($C42="","",_xlfn.LET(_xlpm.c,IFERROR(INDEX(rngEPcode,MATCH(cfgGradeSheetExam,IFERROR(rngEPseq+0,-1),0)),""),IF(COUNTIFS(nrES_PID,Cadets!$B37,nrES_Code,_xlpm.c,nrES_Final,"Yes",nrES_Rec,"&lt;&gt;")=0,"",SUMIFS(nrES_Rec,nrES_PID,Cadets!$B37,nrES_Code,_xlpm.c,nrES_Final,"Yes"))))</f>
        <v/>
      </c>
      <c r="H42" s="29">
        <f>IF(OR($C42="",$G42=""),"",IF($G42&gt;=cfgPassingScore,"Pass","FAIL"))</f>
        <v/>
      </c>
      <c r="I42" s="29">
        <f>IF($C42="","",_xlfn.LET(_xlpm.c,IFERROR(INDEX(rngEPcode,MATCH(cfgGradeSheetExam,IFERROR(rngEPseq+0,-1),0)),""),IF(COUNTIFS(nrES_PID,Cadets!$B37,nrES_Code,_xlpm.c,nrES_Att,2)&gt;0,"Retested","")))</f>
        <v/>
      </c>
    </row>
    <row r="43">
      <c r="B43" s="29">
        <f>IF(Cadets!$B38="","",ROW()-10)</f>
        <v/>
      </c>
      <c r="C43" s="28">
        <f>IF(Cadets!$B38="","",Cadets!$F38)</f>
        <v/>
      </c>
      <c r="D43" s="29">
        <f>IF($C43="","",Cadets!$B38)</f>
        <v/>
      </c>
      <c r="E43" s="29">
        <f>IF($C43="","",Cadets!$H38)</f>
        <v/>
      </c>
      <c r="F43" s="29">
        <f>IF($C43="","",_xlfn.LET(_xlpm.c,IFERROR(INDEX(rngEPcode,MATCH(cfgGradeSheetExam,IFERROR(rngEPseq+0,-1),0)),""),IF(COUNTIFS(nrES_PID,Cadets!$B38,nrES_Code,_xlpm.c,nrES_Att,1)=0,"",SUMIFS(nrES_Raw,nrES_PID,Cadets!$B38,nrES_Code,_xlpm.c,nrES_Att,1))))</f>
        <v/>
      </c>
      <c r="G43" s="29">
        <f>IF($C43="","",_xlfn.LET(_xlpm.c,IFERROR(INDEX(rngEPcode,MATCH(cfgGradeSheetExam,IFERROR(rngEPseq+0,-1),0)),""),IF(COUNTIFS(nrES_PID,Cadets!$B38,nrES_Code,_xlpm.c,nrES_Final,"Yes",nrES_Rec,"&lt;&gt;")=0,"",SUMIFS(nrES_Rec,nrES_PID,Cadets!$B38,nrES_Code,_xlpm.c,nrES_Final,"Yes"))))</f>
        <v/>
      </c>
      <c r="H43" s="29">
        <f>IF(OR($C43="",$G43=""),"",IF($G43&gt;=cfgPassingScore,"Pass","FAIL"))</f>
        <v/>
      </c>
      <c r="I43" s="29">
        <f>IF($C43="","",_xlfn.LET(_xlpm.c,IFERROR(INDEX(rngEPcode,MATCH(cfgGradeSheetExam,IFERROR(rngEPseq+0,-1),0)),""),IF(COUNTIFS(nrES_PID,Cadets!$B38,nrES_Code,_xlpm.c,nrES_Att,2)&gt;0,"Retested","")))</f>
        <v/>
      </c>
    </row>
    <row r="44">
      <c r="B44" s="29">
        <f>IF(Cadets!$B39="","",ROW()-10)</f>
        <v/>
      </c>
      <c r="C44" s="28">
        <f>IF(Cadets!$B39="","",Cadets!$F39)</f>
        <v/>
      </c>
      <c r="D44" s="29">
        <f>IF($C44="","",Cadets!$B39)</f>
        <v/>
      </c>
      <c r="E44" s="29">
        <f>IF($C44="","",Cadets!$H39)</f>
        <v/>
      </c>
      <c r="F44" s="29">
        <f>IF($C44="","",_xlfn.LET(_xlpm.c,IFERROR(INDEX(rngEPcode,MATCH(cfgGradeSheetExam,IFERROR(rngEPseq+0,-1),0)),""),IF(COUNTIFS(nrES_PID,Cadets!$B39,nrES_Code,_xlpm.c,nrES_Att,1)=0,"",SUMIFS(nrES_Raw,nrES_PID,Cadets!$B39,nrES_Code,_xlpm.c,nrES_Att,1))))</f>
        <v/>
      </c>
      <c r="G44" s="29">
        <f>IF($C44="","",_xlfn.LET(_xlpm.c,IFERROR(INDEX(rngEPcode,MATCH(cfgGradeSheetExam,IFERROR(rngEPseq+0,-1),0)),""),IF(COUNTIFS(nrES_PID,Cadets!$B39,nrES_Code,_xlpm.c,nrES_Final,"Yes",nrES_Rec,"&lt;&gt;")=0,"",SUMIFS(nrES_Rec,nrES_PID,Cadets!$B39,nrES_Code,_xlpm.c,nrES_Final,"Yes"))))</f>
        <v/>
      </c>
      <c r="H44" s="29">
        <f>IF(OR($C44="",$G44=""),"",IF($G44&gt;=cfgPassingScore,"Pass","FAIL"))</f>
        <v/>
      </c>
      <c r="I44" s="29">
        <f>IF($C44="","",_xlfn.LET(_xlpm.c,IFERROR(INDEX(rngEPcode,MATCH(cfgGradeSheetExam,IFERROR(rngEPseq+0,-1),0)),""),IF(COUNTIFS(nrES_PID,Cadets!$B39,nrES_Code,_xlpm.c,nrES_Att,2)&gt;0,"Retested","")))</f>
        <v/>
      </c>
    </row>
    <row r="45">
      <c r="B45" s="29">
        <f>IF(Cadets!$B40="","",ROW()-10)</f>
        <v/>
      </c>
      <c r="C45" s="28">
        <f>IF(Cadets!$B40="","",Cadets!$F40)</f>
        <v/>
      </c>
      <c r="D45" s="29">
        <f>IF($C45="","",Cadets!$B40)</f>
        <v/>
      </c>
      <c r="E45" s="29">
        <f>IF($C45="","",Cadets!$H40)</f>
        <v/>
      </c>
      <c r="F45" s="29">
        <f>IF($C45="","",_xlfn.LET(_xlpm.c,IFERROR(INDEX(rngEPcode,MATCH(cfgGradeSheetExam,IFERROR(rngEPseq+0,-1),0)),""),IF(COUNTIFS(nrES_PID,Cadets!$B40,nrES_Code,_xlpm.c,nrES_Att,1)=0,"",SUMIFS(nrES_Raw,nrES_PID,Cadets!$B40,nrES_Code,_xlpm.c,nrES_Att,1))))</f>
        <v/>
      </c>
      <c r="G45" s="29">
        <f>IF($C45="","",_xlfn.LET(_xlpm.c,IFERROR(INDEX(rngEPcode,MATCH(cfgGradeSheetExam,IFERROR(rngEPseq+0,-1),0)),""),IF(COUNTIFS(nrES_PID,Cadets!$B40,nrES_Code,_xlpm.c,nrES_Final,"Yes",nrES_Rec,"&lt;&gt;")=0,"",SUMIFS(nrES_Rec,nrES_PID,Cadets!$B40,nrES_Code,_xlpm.c,nrES_Final,"Yes"))))</f>
        <v/>
      </c>
      <c r="H45" s="29">
        <f>IF(OR($C45="",$G45=""),"",IF($G45&gt;=cfgPassingScore,"Pass","FAIL"))</f>
        <v/>
      </c>
      <c r="I45" s="29">
        <f>IF($C45="","",_xlfn.LET(_xlpm.c,IFERROR(INDEX(rngEPcode,MATCH(cfgGradeSheetExam,IFERROR(rngEPseq+0,-1),0)),""),IF(COUNTIFS(nrES_PID,Cadets!$B40,nrES_Code,_xlpm.c,nrES_Att,2)&gt;0,"Retested","")))</f>
        <v/>
      </c>
    </row>
    <row r="46">
      <c r="B46" s="29">
        <f>IF(Cadets!$B41="","",ROW()-10)</f>
        <v/>
      </c>
      <c r="C46" s="28">
        <f>IF(Cadets!$B41="","",Cadets!$F41)</f>
        <v/>
      </c>
      <c r="D46" s="29">
        <f>IF($C46="","",Cadets!$B41)</f>
        <v/>
      </c>
      <c r="E46" s="29">
        <f>IF($C46="","",Cadets!$H41)</f>
        <v/>
      </c>
      <c r="F46" s="29">
        <f>IF($C46="","",_xlfn.LET(_xlpm.c,IFERROR(INDEX(rngEPcode,MATCH(cfgGradeSheetExam,IFERROR(rngEPseq+0,-1),0)),""),IF(COUNTIFS(nrES_PID,Cadets!$B41,nrES_Code,_xlpm.c,nrES_Att,1)=0,"",SUMIFS(nrES_Raw,nrES_PID,Cadets!$B41,nrES_Code,_xlpm.c,nrES_Att,1))))</f>
        <v/>
      </c>
      <c r="G46" s="29">
        <f>IF($C46="","",_xlfn.LET(_xlpm.c,IFERROR(INDEX(rngEPcode,MATCH(cfgGradeSheetExam,IFERROR(rngEPseq+0,-1),0)),""),IF(COUNTIFS(nrES_PID,Cadets!$B41,nrES_Code,_xlpm.c,nrES_Final,"Yes",nrES_Rec,"&lt;&gt;")=0,"",SUMIFS(nrES_Rec,nrES_PID,Cadets!$B41,nrES_Code,_xlpm.c,nrES_Final,"Yes"))))</f>
        <v/>
      </c>
      <c r="H46" s="29">
        <f>IF(OR($C46="",$G46=""),"",IF($G46&gt;=cfgPassingScore,"Pass","FAIL"))</f>
        <v/>
      </c>
      <c r="I46" s="29">
        <f>IF($C46="","",_xlfn.LET(_xlpm.c,IFERROR(INDEX(rngEPcode,MATCH(cfgGradeSheetExam,IFERROR(rngEPseq+0,-1),0)),""),IF(COUNTIFS(nrES_PID,Cadets!$B41,nrES_Code,_xlpm.c,nrES_Att,2)&gt;0,"Retested","")))</f>
        <v/>
      </c>
    </row>
    <row r="47">
      <c r="B47" s="29">
        <f>IF(Cadets!$B42="","",ROW()-10)</f>
        <v/>
      </c>
      <c r="C47" s="28">
        <f>IF(Cadets!$B42="","",Cadets!$F42)</f>
        <v/>
      </c>
      <c r="D47" s="29">
        <f>IF($C47="","",Cadets!$B42)</f>
        <v/>
      </c>
      <c r="E47" s="29">
        <f>IF($C47="","",Cadets!$H42)</f>
        <v/>
      </c>
      <c r="F47" s="29">
        <f>IF($C47="","",_xlfn.LET(_xlpm.c,IFERROR(INDEX(rngEPcode,MATCH(cfgGradeSheetExam,IFERROR(rngEPseq+0,-1),0)),""),IF(COUNTIFS(nrES_PID,Cadets!$B42,nrES_Code,_xlpm.c,nrES_Att,1)=0,"",SUMIFS(nrES_Raw,nrES_PID,Cadets!$B42,nrES_Code,_xlpm.c,nrES_Att,1))))</f>
        <v/>
      </c>
      <c r="G47" s="29">
        <f>IF($C47="","",_xlfn.LET(_xlpm.c,IFERROR(INDEX(rngEPcode,MATCH(cfgGradeSheetExam,IFERROR(rngEPseq+0,-1),0)),""),IF(COUNTIFS(nrES_PID,Cadets!$B42,nrES_Code,_xlpm.c,nrES_Final,"Yes",nrES_Rec,"&lt;&gt;")=0,"",SUMIFS(nrES_Rec,nrES_PID,Cadets!$B42,nrES_Code,_xlpm.c,nrES_Final,"Yes"))))</f>
        <v/>
      </c>
      <c r="H47" s="29">
        <f>IF(OR($C47="",$G47=""),"",IF($G47&gt;=cfgPassingScore,"Pass","FAIL"))</f>
        <v/>
      </c>
      <c r="I47" s="29">
        <f>IF($C47="","",_xlfn.LET(_xlpm.c,IFERROR(INDEX(rngEPcode,MATCH(cfgGradeSheetExam,IFERROR(rngEPseq+0,-1),0)),""),IF(COUNTIFS(nrES_PID,Cadets!$B42,nrES_Code,_xlpm.c,nrES_Att,2)&gt;0,"Retested","")))</f>
        <v/>
      </c>
    </row>
    <row r="48">
      <c r="B48" s="29">
        <f>IF(Cadets!$B43="","",ROW()-10)</f>
        <v/>
      </c>
      <c r="C48" s="28">
        <f>IF(Cadets!$B43="","",Cadets!$F43)</f>
        <v/>
      </c>
      <c r="D48" s="29">
        <f>IF($C48="","",Cadets!$B43)</f>
        <v/>
      </c>
      <c r="E48" s="29">
        <f>IF($C48="","",Cadets!$H43)</f>
        <v/>
      </c>
      <c r="F48" s="29">
        <f>IF($C48="","",_xlfn.LET(_xlpm.c,IFERROR(INDEX(rngEPcode,MATCH(cfgGradeSheetExam,IFERROR(rngEPseq+0,-1),0)),""),IF(COUNTIFS(nrES_PID,Cadets!$B43,nrES_Code,_xlpm.c,nrES_Att,1)=0,"",SUMIFS(nrES_Raw,nrES_PID,Cadets!$B43,nrES_Code,_xlpm.c,nrES_Att,1))))</f>
        <v/>
      </c>
      <c r="G48" s="29">
        <f>IF($C48="","",_xlfn.LET(_xlpm.c,IFERROR(INDEX(rngEPcode,MATCH(cfgGradeSheetExam,IFERROR(rngEPseq+0,-1),0)),""),IF(COUNTIFS(nrES_PID,Cadets!$B43,nrES_Code,_xlpm.c,nrES_Final,"Yes",nrES_Rec,"&lt;&gt;")=0,"",SUMIFS(nrES_Rec,nrES_PID,Cadets!$B43,nrES_Code,_xlpm.c,nrES_Final,"Yes"))))</f>
        <v/>
      </c>
      <c r="H48" s="29">
        <f>IF(OR($C48="",$G48=""),"",IF($G48&gt;=cfgPassingScore,"Pass","FAIL"))</f>
        <v/>
      </c>
      <c r="I48" s="29">
        <f>IF($C48="","",_xlfn.LET(_xlpm.c,IFERROR(INDEX(rngEPcode,MATCH(cfgGradeSheetExam,IFERROR(rngEPseq+0,-1),0)),""),IF(COUNTIFS(nrES_PID,Cadets!$B43,nrES_Code,_xlpm.c,nrES_Att,2)&gt;0,"Retested","")))</f>
        <v/>
      </c>
    </row>
    <row r="49">
      <c r="B49" s="29">
        <f>IF(Cadets!$B44="","",ROW()-10)</f>
        <v/>
      </c>
      <c r="C49" s="28">
        <f>IF(Cadets!$B44="","",Cadets!$F44)</f>
        <v/>
      </c>
      <c r="D49" s="29">
        <f>IF($C49="","",Cadets!$B44)</f>
        <v/>
      </c>
      <c r="E49" s="29">
        <f>IF($C49="","",Cadets!$H44)</f>
        <v/>
      </c>
      <c r="F49" s="29">
        <f>IF($C49="","",_xlfn.LET(_xlpm.c,IFERROR(INDEX(rngEPcode,MATCH(cfgGradeSheetExam,IFERROR(rngEPseq+0,-1),0)),""),IF(COUNTIFS(nrES_PID,Cadets!$B44,nrES_Code,_xlpm.c,nrES_Att,1)=0,"",SUMIFS(nrES_Raw,nrES_PID,Cadets!$B44,nrES_Code,_xlpm.c,nrES_Att,1))))</f>
        <v/>
      </c>
      <c r="G49" s="29">
        <f>IF($C49="","",_xlfn.LET(_xlpm.c,IFERROR(INDEX(rngEPcode,MATCH(cfgGradeSheetExam,IFERROR(rngEPseq+0,-1),0)),""),IF(COUNTIFS(nrES_PID,Cadets!$B44,nrES_Code,_xlpm.c,nrES_Final,"Yes",nrES_Rec,"&lt;&gt;")=0,"",SUMIFS(nrES_Rec,nrES_PID,Cadets!$B44,nrES_Code,_xlpm.c,nrES_Final,"Yes"))))</f>
        <v/>
      </c>
      <c r="H49" s="29">
        <f>IF(OR($C49="",$G49=""),"",IF($G49&gt;=cfgPassingScore,"Pass","FAIL"))</f>
        <v/>
      </c>
      <c r="I49" s="29">
        <f>IF($C49="","",_xlfn.LET(_xlpm.c,IFERROR(INDEX(rngEPcode,MATCH(cfgGradeSheetExam,IFERROR(rngEPseq+0,-1),0)),""),IF(COUNTIFS(nrES_PID,Cadets!$B44,nrES_Code,_xlpm.c,nrES_Att,2)&gt;0,"Retested","")))</f>
        <v/>
      </c>
    </row>
    <row r="50">
      <c r="B50" s="29">
        <f>IF(Cadets!$B45="","",ROW()-10)</f>
        <v/>
      </c>
      <c r="C50" s="28">
        <f>IF(Cadets!$B45="","",Cadets!$F45)</f>
        <v/>
      </c>
      <c r="D50" s="29">
        <f>IF($C50="","",Cadets!$B45)</f>
        <v/>
      </c>
      <c r="E50" s="29">
        <f>IF($C50="","",Cadets!$H45)</f>
        <v/>
      </c>
      <c r="F50" s="29">
        <f>IF($C50="","",_xlfn.LET(_xlpm.c,IFERROR(INDEX(rngEPcode,MATCH(cfgGradeSheetExam,IFERROR(rngEPseq+0,-1),0)),""),IF(COUNTIFS(nrES_PID,Cadets!$B45,nrES_Code,_xlpm.c,nrES_Att,1)=0,"",SUMIFS(nrES_Raw,nrES_PID,Cadets!$B45,nrES_Code,_xlpm.c,nrES_Att,1))))</f>
        <v/>
      </c>
      <c r="G50" s="29">
        <f>IF($C50="","",_xlfn.LET(_xlpm.c,IFERROR(INDEX(rngEPcode,MATCH(cfgGradeSheetExam,IFERROR(rngEPseq+0,-1),0)),""),IF(COUNTIFS(nrES_PID,Cadets!$B45,nrES_Code,_xlpm.c,nrES_Final,"Yes",nrES_Rec,"&lt;&gt;")=0,"",SUMIFS(nrES_Rec,nrES_PID,Cadets!$B45,nrES_Code,_xlpm.c,nrES_Final,"Yes"))))</f>
        <v/>
      </c>
      <c r="H50" s="29">
        <f>IF(OR($C50="",$G50=""),"",IF($G50&gt;=cfgPassingScore,"Pass","FAIL"))</f>
        <v/>
      </c>
      <c r="I50" s="29">
        <f>IF($C50="","",_xlfn.LET(_xlpm.c,IFERROR(INDEX(rngEPcode,MATCH(cfgGradeSheetExam,IFERROR(rngEPseq+0,-1),0)),""),IF(COUNTIFS(nrES_PID,Cadets!$B45,nrES_Code,_xlpm.c,nrES_Att,2)&gt;0,"Retested","")))</f>
        <v/>
      </c>
    </row>
    <row r="51">
      <c r="B51" s="29">
        <f>IF(Cadets!$B46="","",ROW()-10)</f>
        <v/>
      </c>
      <c r="C51" s="28">
        <f>IF(Cadets!$B46="","",Cadets!$F46)</f>
        <v/>
      </c>
      <c r="D51" s="29">
        <f>IF($C51="","",Cadets!$B46)</f>
        <v/>
      </c>
      <c r="E51" s="29">
        <f>IF($C51="","",Cadets!$H46)</f>
        <v/>
      </c>
      <c r="F51" s="29">
        <f>IF($C51="","",_xlfn.LET(_xlpm.c,IFERROR(INDEX(rngEPcode,MATCH(cfgGradeSheetExam,IFERROR(rngEPseq+0,-1),0)),""),IF(COUNTIFS(nrES_PID,Cadets!$B46,nrES_Code,_xlpm.c,nrES_Att,1)=0,"",SUMIFS(nrES_Raw,nrES_PID,Cadets!$B46,nrES_Code,_xlpm.c,nrES_Att,1))))</f>
        <v/>
      </c>
      <c r="G51" s="29">
        <f>IF($C51="","",_xlfn.LET(_xlpm.c,IFERROR(INDEX(rngEPcode,MATCH(cfgGradeSheetExam,IFERROR(rngEPseq+0,-1),0)),""),IF(COUNTIFS(nrES_PID,Cadets!$B46,nrES_Code,_xlpm.c,nrES_Final,"Yes",nrES_Rec,"&lt;&gt;")=0,"",SUMIFS(nrES_Rec,nrES_PID,Cadets!$B46,nrES_Code,_xlpm.c,nrES_Final,"Yes"))))</f>
        <v/>
      </c>
      <c r="H51" s="29">
        <f>IF(OR($C51="",$G51=""),"",IF($G51&gt;=cfgPassingScore,"Pass","FAIL"))</f>
        <v/>
      </c>
      <c r="I51" s="29">
        <f>IF($C51="","",_xlfn.LET(_xlpm.c,IFERROR(INDEX(rngEPcode,MATCH(cfgGradeSheetExam,IFERROR(rngEPseq+0,-1),0)),""),IF(COUNTIFS(nrES_PID,Cadets!$B46,nrES_Code,_xlpm.c,nrES_Att,2)&gt;0,"Retested","")))</f>
        <v/>
      </c>
    </row>
    <row r="52">
      <c r="B52" s="29">
        <f>IF(Cadets!$B47="","",ROW()-10)</f>
        <v/>
      </c>
      <c r="C52" s="28">
        <f>IF(Cadets!$B47="","",Cadets!$F47)</f>
        <v/>
      </c>
      <c r="D52" s="29">
        <f>IF($C52="","",Cadets!$B47)</f>
        <v/>
      </c>
      <c r="E52" s="29">
        <f>IF($C52="","",Cadets!$H47)</f>
        <v/>
      </c>
      <c r="F52" s="29">
        <f>IF($C52="","",_xlfn.LET(_xlpm.c,IFERROR(INDEX(rngEPcode,MATCH(cfgGradeSheetExam,IFERROR(rngEPseq+0,-1),0)),""),IF(COUNTIFS(nrES_PID,Cadets!$B47,nrES_Code,_xlpm.c,nrES_Att,1)=0,"",SUMIFS(nrES_Raw,nrES_PID,Cadets!$B47,nrES_Code,_xlpm.c,nrES_Att,1))))</f>
        <v/>
      </c>
      <c r="G52" s="29">
        <f>IF($C52="","",_xlfn.LET(_xlpm.c,IFERROR(INDEX(rngEPcode,MATCH(cfgGradeSheetExam,IFERROR(rngEPseq+0,-1),0)),""),IF(COUNTIFS(nrES_PID,Cadets!$B47,nrES_Code,_xlpm.c,nrES_Final,"Yes",nrES_Rec,"&lt;&gt;")=0,"",SUMIFS(nrES_Rec,nrES_PID,Cadets!$B47,nrES_Code,_xlpm.c,nrES_Final,"Yes"))))</f>
        <v/>
      </c>
      <c r="H52" s="29">
        <f>IF(OR($C52="",$G52=""),"",IF($G52&gt;=cfgPassingScore,"Pass","FAIL"))</f>
        <v/>
      </c>
      <c r="I52" s="29">
        <f>IF($C52="","",_xlfn.LET(_xlpm.c,IFERROR(INDEX(rngEPcode,MATCH(cfgGradeSheetExam,IFERROR(rngEPseq+0,-1),0)),""),IF(COUNTIFS(nrES_PID,Cadets!$B47,nrES_Code,_xlpm.c,nrES_Att,2)&gt;0,"Retested","")))</f>
        <v/>
      </c>
    </row>
    <row r="53">
      <c r="B53" s="29">
        <f>IF(Cadets!$B48="","",ROW()-10)</f>
        <v/>
      </c>
      <c r="C53" s="28">
        <f>IF(Cadets!$B48="","",Cadets!$F48)</f>
        <v/>
      </c>
      <c r="D53" s="29">
        <f>IF($C53="","",Cadets!$B48)</f>
        <v/>
      </c>
      <c r="E53" s="29">
        <f>IF($C53="","",Cadets!$H48)</f>
        <v/>
      </c>
      <c r="F53" s="29">
        <f>IF($C53="","",_xlfn.LET(_xlpm.c,IFERROR(INDEX(rngEPcode,MATCH(cfgGradeSheetExam,IFERROR(rngEPseq+0,-1),0)),""),IF(COUNTIFS(nrES_PID,Cadets!$B48,nrES_Code,_xlpm.c,nrES_Att,1)=0,"",SUMIFS(nrES_Raw,nrES_PID,Cadets!$B48,nrES_Code,_xlpm.c,nrES_Att,1))))</f>
        <v/>
      </c>
      <c r="G53" s="29">
        <f>IF($C53="","",_xlfn.LET(_xlpm.c,IFERROR(INDEX(rngEPcode,MATCH(cfgGradeSheetExam,IFERROR(rngEPseq+0,-1),0)),""),IF(COUNTIFS(nrES_PID,Cadets!$B48,nrES_Code,_xlpm.c,nrES_Final,"Yes",nrES_Rec,"&lt;&gt;")=0,"",SUMIFS(nrES_Rec,nrES_PID,Cadets!$B48,nrES_Code,_xlpm.c,nrES_Final,"Yes"))))</f>
        <v/>
      </c>
      <c r="H53" s="29">
        <f>IF(OR($C53="",$G53=""),"",IF($G53&gt;=cfgPassingScore,"Pass","FAIL"))</f>
        <v/>
      </c>
      <c r="I53" s="29">
        <f>IF($C53="","",_xlfn.LET(_xlpm.c,IFERROR(INDEX(rngEPcode,MATCH(cfgGradeSheetExam,IFERROR(rngEPseq+0,-1),0)),""),IF(COUNTIFS(nrES_PID,Cadets!$B48,nrES_Code,_xlpm.c,nrES_Att,2)&gt;0,"Retested","")))</f>
        <v/>
      </c>
    </row>
    <row r="54">
      <c r="B54" s="29">
        <f>IF(Cadets!$B49="","",ROW()-10)</f>
        <v/>
      </c>
      <c r="C54" s="28">
        <f>IF(Cadets!$B49="","",Cadets!$F49)</f>
        <v/>
      </c>
      <c r="D54" s="29">
        <f>IF($C54="","",Cadets!$B49)</f>
        <v/>
      </c>
      <c r="E54" s="29">
        <f>IF($C54="","",Cadets!$H49)</f>
        <v/>
      </c>
      <c r="F54" s="29">
        <f>IF($C54="","",_xlfn.LET(_xlpm.c,IFERROR(INDEX(rngEPcode,MATCH(cfgGradeSheetExam,IFERROR(rngEPseq+0,-1),0)),""),IF(COUNTIFS(nrES_PID,Cadets!$B49,nrES_Code,_xlpm.c,nrES_Att,1)=0,"",SUMIFS(nrES_Raw,nrES_PID,Cadets!$B49,nrES_Code,_xlpm.c,nrES_Att,1))))</f>
        <v/>
      </c>
      <c r="G54" s="29">
        <f>IF($C54="","",_xlfn.LET(_xlpm.c,IFERROR(INDEX(rngEPcode,MATCH(cfgGradeSheetExam,IFERROR(rngEPseq+0,-1),0)),""),IF(COUNTIFS(nrES_PID,Cadets!$B49,nrES_Code,_xlpm.c,nrES_Final,"Yes",nrES_Rec,"&lt;&gt;")=0,"",SUMIFS(nrES_Rec,nrES_PID,Cadets!$B49,nrES_Code,_xlpm.c,nrES_Final,"Yes"))))</f>
        <v/>
      </c>
      <c r="H54" s="29">
        <f>IF(OR($C54="",$G54=""),"",IF($G54&gt;=cfgPassingScore,"Pass","FAIL"))</f>
        <v/>
      </c>
      <c r="I54" s="29">
        <f>IF($C54="","",_xlfn.LET(_xlpm.c,IFERROR(INDEX(rngEPcode,MATCH(cfgGradeSheetExam,IFERROR(rngEPseq+0,-1),0)),""),IF(COUNTIFS(nrES_PID,Cadets!$B49,nrES_Code,_xlpm.c,nrES_Att,2)&gt;0,"Retested","")))</f>
        <v/>
      </c>
    </row>
    <row r="55">
      <c r="B55" s="29">
        <f>IF(Cadets!$B50="","",ROW()-10)</f>
        <v/>
      </c>
      <c r="C55" s="28">
        <f>IF(Cadets!$B50="","",Cadets!$F50)</f>
        <v/>
      </c>
      <c r="D55" s="29">
        <f>IF($C55="","",Cadets!$B50)</f>
        <v/>
      </c>
      <c r="E55" s="29">
        <f>IF($C55="","",Cadets!$H50)</f>
        <v/>
      </c>
      <c r="F55" s="29">
        <f>IF($C55="","",_xlfn.LET(_xlpm.c,IFERROR(INDEX(rngEPcode,MATCH(cfgGradeSheetExam,IFERROR(rngEPseq+0,-1),0)),""),IF(COUNTIFS(nrES_PID,Cadets!$B50,nrES_Code,_xlpm.c,nrES_Att,1)=0,"",SUMIFS(nrES_Raw,nrES_PID,Cadets!$B50,nrES_Code,_xlpm.c,nrES_Att,1))))</f>
        <v/>
      </c>
      <c r="G55" s="29">
        <f>IF($C55="","",_xlfn.LET(_xlpm.c,IFERROR(INDEX(rngEPcode,MATCH(cfgGradeSheetExam,IFERROR(rngEPseq+0,-1),0)),""),IF(COUNTIFS(nrES_PID,Cadets!$B50,nrES_Code,_xlpm.c,nrES_Final,"Yes",nrES_Rec,"&lt;&gt;")=0,"",SUMIFS(nrES_Rec,nrES_PID,Cadets!$B50,nrES_Code,_xlpm.c,nrES_Final,"Yes"))))</f>
        <v/>
      </c>
      <c r="H55" s="29">
        <f>IF(OR($C55="",$G55=""),"",IF($G55&gt;=cfgPassingScore,"Pass","FAIL"))</f>
        <v/>
      </c>
      <c r="I55" s="29">
        <f>IF($C55="","",_xlfn.LET(_xlpm.c,IFERROR(INDEX(rngEPcode,MATCH(cfgGradeSheetExam,IFERROR(rngEPseq+0,-1),0)),""),IF(COUNTIFS(nrES_PID,Cadets!$B50,nrES_Code,_xlpm.c,nrES_Att,2)&gt;0,"Retested","")))</f>
        <v/>
      </c>
    </row>
    <row r="56">
      <c r="B56" s="29">
        <f>IF(Cadets!$B51="","",ROW()-10)</f>
        <v/>
      </c>
      <c r="C56" s="28">
        <f>IF(Cadets!$B51="","",Cadets!$F51)</f>
        <v/>
      </c>
      <c r="D56" s="29">
        <f>IF($C56="","",Cadets!$B51)</f>
        <v/>
      </c>
      <c r="E56" s="29">
        <f>IF($C56="","",Cadets!$H51)</f>
        <v/>
      </c>
      <c r="F56" s="29">
        <f>IF($C56="","",_xlfn.LET(_xlpm.c,IFERROR(INDEX(rngEPcode,MATCH(cfgGradeSheetExam,IFERROR(rngEPseq+0,-1),0)),""),IF(COUNTIFS(nrES_PID,Cadets!$B51,nrES_Code,_xlpm.c,nrES_Att,1)=0,"",SUMIFS(nrES_Raw,nrES_PID,Cadets!$B51,nrES_Code,_xlpm.c,nrES_Att,1))))</f>
        <v/>
      </c>
      <c r="G56" s="29">
        <f>IF($C56="","",_xlfn.LET(_xlpm.c,IFERROR(INDEX(rngEPcode,MATCH(cfgGradeSheetExam,IFERROR(rngEPseq+0,-1),0)),""),IF(COUNTIFS(nrES_PID,Cadets!$B51,nrES_Code,_xlpm.c,nrES_Final,"Yes",nrES_Rec,"&lt;&gt;")=0,"",SUMIFS(nrES_Rec,nrES_PID,Cadets!$B51,nrES_Code,_xlpm.c,nrES_Final,"Yes"))))</f>
        <v/>
      </c>
      <c r="H56" s="29">
        <f>IF(OR($C56="",$G56=""),"",IF($G56&gt;=cfgPassingScore,"Pass","FAIL"))</f>
        <v/>
      </c>
      <c r="I56" s="29">
        <f>IF($C56="","",_xlfn.LET(_xlpm.c,IFERROR(INDEX(rngEPcode,MATCH(cfgGradeSheetExam,IFERROR(rngEPseq+0,-1),0)),""),IF(COUNTIFS(nrES_PID,Cadets!$B51,nrES_Code,_xlpm.c,nrES_Att,2)&gt;0,"Retested","")))</f>
        <v/>
      </c>
    </row>
    <row r="57">
      <c r="B57" s="29">
        <f>IF(Cadets!$B52="","",ROW()-10)</f>
        <v/>
      </c>
      <c r="C57" s="28">
        <f>IF(Cadets!$B52="","",Cadets!$F52)</f>
        <v/>
      </c>
      <c r="D57" s="29">
        <f>IF($C57="","",Cadets!$B52)</f>
        <v/>
      </c>
      <c r="E57" s="29">
        <f>IF($C57="","",Cadets!$H52)</f>
        <v/>
      </c>
      <c r="F57" s="29">
        <f>IF($C57="","",_xlfn.LET(_xlpm.c,IFERROR(INDEX(rngEPcode,MATCH(cfgGradeSheetExam,IFERROR(rngEPseq+0,-1),0)),""),IF(COUNTIFS(nrES_PID,Cadets!$B52,nrES_Code,_xlpm.c,nrES_Att,1)=0,"",SUMIFS(nrES_Raw,nrES_PID,Cadets!$B52,nrES_Code,_xlpm.c,nrES_Att,1))))</f>
        <v/>
      </c>
      <c r="G57" s="29">
        <f>IF($C57="","",_xlfn.LET(_xlpm.c,IFERROR(INDEX(rngEPcode,MATCH(cfgGradeSheetExam,IFERROR(rngEPseq+0,-1),0)),""),IF(COUNTIFS(nrES_PID,Cadets!$B52,nrES_Code,_xlpm.c,nrES_Final,"Yes",nrES_Rec,"&lt;&gt;")=0,"",SUMIFS(nrES_Rec,nrES_PID,Cadets!$B52,nrES_Code,_xlpm.c,nrES_Final,"Yes"))))</f>
        <v/>
      </c>
      <c r="H57" s="29">
        <f>IF(OR($C57="",$G57=""),"",IF($G57&gt;=cfgPassingScore,"Pass","FAIL"))</f>
        <v/>
      </c>
      <c r="I57" s="29">
        <f>IF($C57="","",_xlfn.LET(_xlpm.c,IFERROR(INDEX(rngEPcode,MATCH(cfgGradeSheetExam,IFERROR(rngEPseq+0,-1),0)),""),IF(COUNTIFS(nrES_PID,Cadets!$B52,nrES_Code,_xlpm.c,nrES_Att,2)&gt;0,"Retested","")))</f>
        <v/>
      </c>
    </row>
    <row r="58">
      <c r="B58" s="29">
        <f>IF(Cadets!$B53="","",ROW()-10)</f>
        <v/>
      </c>
      <c r="C58" s="28">
        <f>IF(Cadets!$B53="","",Cadets!$F53)</f>
        <v/>
      </c>
      <c r="D58" s="29">
        <f>IF($C58="","",Cadets!$B53)</f>
        <v/>
      </c>
      <c r="E58" s="29">
        <f>IF($C58="","",Cadets!$H53)</f>
        <v/>
      </c>
      <c r="F58" s="29">
        <f>IF($C58="","",_xlfn.LET(_xlpm.c,IFERROR(INDEX(rngEPcode,MATCH(cfgGradeSheetExam,IFERROR(rngEPseq+0,-1),0)),""),IF(COUNTIFS(nrES_PID,Cadets!$B53,nrES_Code,_xlpm.c,nrES_Att,1)=0,"",SUMIFS(nrES_Raw,nrES_PID,Cadets!$B53,nrES_Code,_xlpm.c,nrES_Att,1))))</f>
        <v/>
      </c>
      <c r="G58" s="29">
        <f>IF($C58="","",_xlfn.LET(_xlpm.c,IFERROR(INDEX(rngEPcode,MATCH(cfgGradeSheetExam,IFERROR(rngEPseq+0,-1),0)),""),IF(COUNTIFS(nrES_PID,Cadets!$B53,nrES_Code,_xlpm.c,nrES_Final,"Yes",nrES_Rec,"&lt;&gt;")=0,"",SUMIFS(nrES_Rec,nrES_PID,Cadets!$B53,nrES_Code,_xlpm.c,nrES_Final,"Yes"))))</f>
        <v/>
      </c>
      <c r="H58" s="29">
        <f>IF(OR($C58="",$G58=""),"",IF($G58&gt;=cfgPassingScore,"Pass","FAIL"))</f>
        <v/>
      </c>
      <c r="I58" s="29">
        <f>IF($C58="","",_xlfn.LET(_xlpm.c,IFERROR(INDEX(rngEPcode,MATCH(cfgGradeSheetExam,IFERROR(rngEPseq+0,-1),0)),""),IF(COUNTIFS(nrES_PID,Cadets!$B53,nrES_Code,_xlpm.c,nrES_Att,2)&gt;0,"Retested","")))</f>
        <v/>
      </c>
    </row>
    <row r="59">
      <c r="B59" s="29">
        <f>IF(Cadets!$B54="","",ROW()-10)</f>
        <v/>
      </c>
      <c r="C59" s="28">
        <f>IF(Cadets!$B54="","",Cadets!$F54)</f>
        <v/>
      </c>
      <c r="D59" s="29">
        <f>IF($C59="","",Cadets!$B54)</f>
        <v/>
      </c>
      <c r="E59" s="29">
        <f>IF($C59="","",Cadets!$H54)</f>
        <v/>
      </c>
      <c r="F59" s="29">
        <f>IF($C59="","",_xlfn.LET(_xlpm.c,IFERROR(INDEX(rngEPcode,MATCH(cfgGradeSheetExam,IFERROR(rngEPseq+0,-1),0)),""),IF(COUNTIFS(nrES_PID,Cadets!$B54,nrES_Code,_xlpm.c,nrES_Att,1)=0,"",SUMIFS(nrES_Raw,nrES_PID,Cadets!$B54,nrES_Code,_xlpm.c,nrES_Att,1))))</f>
        <v/>
      </c>
      <c r="G59" s="29">
        <f>IF($C59="","",_xlfn.LET(_xlpm.c,IFERROR(INDEX(rngEPcode,MATCH(cfgGradeSheetExam,IFERROR(rngEPseq+0,-1),0)),""),IF(COUNTIFS(nrES_PID,Cadets!$B54,nrES_Code,_xlpm.c,nrES_Final,"Yes",nrES_Rec,"&lt;&gt;")=0,"",SUMIFS(nrES_Rec,nrES_PID,Cadets!$B54,nrES_Code,_xlpm.c,nrES_Final,"Yes"))))</f>
        <v/>
      </c>
      <c r="H59" s="29">
        <f>IF(OR($C59="",$G59=""),"",IF($G59&gt;=cfgPassingScore,"Pass","FAIL"))</f>
        <v/>
      </c>
      <c r="I59" s="29">
        <f>IF($C59="","",_xlfn.LET(_xlpm.c,IFERROR(INDEX(rngEPcode,MATCH(cfgGradeSheetExam,IFERROR(rngEPseq+0,-1),0)),""),IF(COUNTIFS(nrES_PID,Cadets!$B54,nrES_Code,_xlpm.c,nrES_Att,2)&gt;0,"Retested","")))</f>
        <v/>
      </c>
    </row>
    <row r="60">
      <c r="B60" s="29">
        <f>IF(Cadets!$B55="","",ROW()-10)</f>
        <v/>
      </c>
      <c r="C60" s="28">
        <f>IF(Cadets!$B55="","",Cadets!$F55)</f>
        <v/>
      </c>
      <c r="D60" s="29">
        <f>IF($C60="","",Cadets!$B55)</f>
        <v/>
      </c>
      <c r="E60" s="29">
        <f>IF($C60="","",Cadets!$H55)</f>
        <v/>
      </c>
      <c r="F60" s="29">
        <f>IF($C60="","",_xlfn.LET(_xlpm.c,IFERROR(INDEX(rngEPcode,MATCH(cfgGradeSheetExam,IFERROR(rngEPseq+0,-1),0)),""),IF(COUNTIFS(nrES_PID,Cadets!$B55,nrES_Code,_xlpm.c,nrES_Att,1)=0,"",SUMIFS(nrES_Raw,nrES_PID,Cadets!$B55,nrES_Code,_xlpm.c,nrES_Att,1))))</f>
        <v/>
      </c>
      <c r="G60" s="29">
        <f>IF($C60="","",_xlfn.LET(_xlpm.c,IFERROR(INDEX(rngEPcode,MATCH(cfgGradeSheetExam,IFERROR(rngEPseq+0,-1),0)),""),IF(COUNTIFS(nrES_PID,Cadets!$B55,nrES_Code,_xlpm.c,nrES_Final,"Yes",nrES_Rec,"&lt;&gt;")=0,"",SUMIFS(nrES_Rec,nrES_PID,Cadets!$B55,nrES_Code,_xlpm.c,nrES_Final,"Yes"))))</f>
        <v/>
      </c>
      <c r="H60" s="29">
        <f>IF(OR($C60="",$G60=""),"",IF($G60&gt;=cfgPassingScore,"Pass","FAIL"))</f>
        <v/>
      </c>
      <c r="I60" s="29">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Enter the date, print, collect signatures — this is the daily paper attendance record for the TCOLE file. Exceptions still go on the Attendance log.</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9"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9" t="inlineStr">
        <is>
          <t>Cadet sign-in</t>
        </is>
      </c>
      <c r="C19" s="8" t="n"/>
      <c r="D19" s="8" t="n"/>
      <c r="E19" s="8" t="n"/>
      <c r="F19" s="8" t="n"/>
      <c r="G19" s="8" t="n"/>
      <c r="H19" s="8" t="n"/>
      <c r="I19" s="8" t="n"/>
    </row>
    <row r="20" ht="26" customHeight="1">
      <c r="B20" s="12" t="inlineStr">
        <is>
          <t>#</t>
        </is>
      </c>
      <c r="C20" s="12" t="inlineStr">
        <is>
          <t>Cadet</t>
        </is>
      </c>
      <c r="D20" s="12" t="inlineStr">
        <is>
          <t>PID</t>
        </is>
      </c>
      <c r="E20" s="12" t="inlineStr">
        <is>
          <t>Agency</t>
        </is>
      </c>
      <c r="F20" s="12" t="inlineStr">
        <is>
          <t>AM Signature</t>
        </is>
      </c>
      <c r="G20" s="12" t="inlineStr">
        <is>
          <t>PM Signature</t>
        </is>
      </c>
      <c r="H20" s="12" t="inlineStr">
        <is>
          <t>Remarks</t>
        </is>
      </c>
    </row>
    <row r="21" ht="20" customHeight="1">
      <c r="B21" s="29">
        <f>IF(Cadets!$B6="","",ROW()-20)</f>
        <v/>
      </c>
      <c r="C21" s="28">
        <f>IF(Cadets!$B6="","",IF(Cadets!$I6&lt;&gt;"Active","",Cadets!$F6))</f>
        <v/>
      </c>
      <c r="D21" s="28">
        <f>IF(C21="","",Cadets!$B6)</f>
        <v/>
      </c>
      <c r="E21" s="28">
        <f>IF(C21="","",Cadets!$H6)</f>
        <v/>
      </c>
      <c r="F21" s="32" t="n"/>
      <c r="G21" s="32" t="n"/>
      <c r="H21" s="32" t="n"/>
    </row>
    <row r="22" ht="20" customHeight="1">
      <c r="B22" s="29">
        <f>IF(Cadets!$B7="","",ROW()-20)</f>
        <v/>
      </c>
      <c r="C22" s="28">
        <f>IF(Cadets!$B7="","",IF(Cadets!$I7&lt;&gt;"Active","",Cadets!$F7))</f>
        <v/>
      </c>
      <c r="D22" s="28">
        <f>IF(C22="","",Cadets!$B7)</f>
        <v/>
      </c>
      <c r="E22" s="28">
        <f>IF(C22="","",Cadets!$H7)</f>
        <v/>
      </c>
      <c r="F22" s="32" t="n"/>
      <c r="G22" s="32" t="n"/>
      <c r="H22" s="32" t="n"/>
    </row>
    <row r="23" ht="20" customHeight="1">
      <c r="B23" s="29">
        <f>IF(Cadets!$B8="","",ROW()-20)</f>
        <v/>
      </c>
      <c r="C23" s="28">
        <f>IF(Cadets!$B8="","",IF(Cadets!$I8&lt;&gt;"Active","",Cadets!$F8))</f>
        <v/>
      </c>
      <c r="D23" s="28">
        <f>IF(C23="","",Cadets!$B8)</f>
        <v/>
      </c>
      <c r="E23" s="28">
        <f>IF(C23="","",Cadets!$H8)</f>
        <v/>
      </c>
      <c r="F23" s="32" t="n"/>
      <c r="G23" s="32" t="n"/>
      <c r="H23" s="32" t="n"/>
    </row>
    <row r="24" ht="20" customHeight="1">
      <c r="B24" s="29">
        <f>IF(Cadets!$B9="","",ROW()-20)</f>
        <v/>
      </c>
      <c r="C24" s="28">
        <f>IF(Cadets!$B9="","",IF(Cadets!$I9&lt;&gt;"Active","",Cadets!$F9))</f>
        <v/>
      </c>
      <c r="D24" s="28">
        <f>IF(C24="","",Cadets!$B9)</f>
        <v/>
      </c>
      <c r="E24" s="28">
        <f>IF(C24="","",Cadets!$H9)</f>
        <v/>
      </c>
      <c r="F24" s="32" t="n"/>
      <c r="G24" s="32" t="n"/>
      <c r="H24" s="32" t="n"/>
    </row>
    <row r="25" ht="20" customHeight="1">
      <c r="B25" s="29">
        <f>IF(Cadets!$B10="","",ROW()-20)</f>
        <v/>
      </c>
      <c r="C25" s="28">
        <f>IF(Cadets!$B10="","",IF(Cadets!$I10&lt;&gt;"Active","",Cadets!$F10))</f>
        <v/>
      </c>
      <c r="D25" s="28">
        <f>IF(C25="","",Cadets!$B10)</f>
        <v/>
      </c>
      <c r="E25" s="28">
        <f>IF(C25="","",Cadets!$H10)</f>
        <v/>
      </c>
      <c r="F25" s="32" t="n"/>
      <c r="G25" s="32" t="n"/>
      <c r="H25" s="32" t="n"/>
    </row>
    <row r="26" ht="20" customHeight="1">
      <c r="B26" s="29">
        <f>IF(Cadets!$B11="","",ROW()-20)</f>
        <v/>
      </c>
      <c r="C26" s="28">
        <f>IF(Cadets!$B11="","",IF(Cadets!$I11&lt;&gt;"Active","",Cadets!$F11))</f>
        <v/>
      </c>
      <c r="D26" s="28">
        <f>IF(C26="","",Cadets!$B11)</f>
        <v/>
      </c>
      <c r="E26" s="28">
        <f>IF(C26="","",Cadets!$H11)</f>
        <v/>
      </c>
      <c r="F26" s="32" t="n"/>
      <c r="G26" s="32" t="n"/>
      <c r="H26" s="32" t="n"/>
    </row>
    <row r="27" ht="20" customHeight="1">
      <c r="B27" s="29">
        <f>IF(Cadets!$B12="","",ROW()-20)</f>
        <v/>
      </c>
      <c r="C27" s="28">
        <f>IF(Cadets!$B12="","",IF(Cadets!$I12&lt;&gt;"Active","",Cadets!$F12))</f>
        <v/>
      </c>
      <c r="D27" s="28">
        <f>IF(C27="","",Cadets!$B12)</f>
        <v/>
      </c>
      <c r="E27" s="28">
        <f>IF(C27="","",Cadets!$H12)</f>
        <v/>
      </c>
      <c r="F27" s="32" t="n"/>
      <c r="G27" s="32" t="n"/>
      <c r="H27" s="32" t="n"/>
    </row>
    <row r="28" ht="20" customHeight="1">
      <c r="B28" s="29">
        <f>IF(Cadets!$B13="","",ROW()-20)</f>
        <v/>
      </c>
      <c r="C28" s="28">
        <f>IF(Cadets!$B13="","",IF(Cadets!$I13&lt;&gt;"Active","",Cadets!$F13))</f>
        <v/>
      </c>
      <c r="D28" s="28">
        <f>IF(C28="","",Cadets!$B13)</f>
        <v/>
      </c>
      <c r="E28" s="28">
        <f>IF(C28="","",Cadets!$H13)</f>
        <v/>
      </c>
      <c r="F28" s="32" t="n"/>
      <c r="G28" s="32" t="n"/>
      <c r="H28" s="32" t="n"/>
    </row>
    <row r="29" ht="20" customHeight="1">
      <c r="B29" s="29">
        <f>IF(Cadets!$B14="","",ROW()-20)</f>
        <v/>
      </c>
      <c r="C29" s="28">
        <f>IF(Cadets!$B14="","",IF(Cadets!$I14&lt;&gt;"Active","",Cadets!$F14))</f>
        <v/>
      </c>
      <c r="D29" s="28">
        <f>IF(C29="","",Cadets!$B14)</f>
        <v/>
      </c>
      <c r="E29" s="28">
        <f>IF(C29="","",Cadets!$H14)</f>
        <v/>
      </c>
      <c r="F29" s="32" t="n"/>
      <c r="G29" s="32" t="n"/>
      <c r="H29" s="32" t="n"/>
    </row>
    <row r="30" ht="20" customHeight="1">
      <c r="B30" s="29">
        <f>IF(Cadets!$B15="","",ROW()-20)</f>
        <v/>
      </c>
      <c r="C30" s="28">
        <f>IF(Cadets!$B15="","",IF(Cadets!$I15&lt;&gt;"Active","",Cadets!$F15))</f>
        <v/>
      </c>
      <c r="D30" s="28">
        <f>IF(C30="","",Cadets!$B15)</f>
        <v/>
      </c>
      <c r="E30" s="28">
        <f>IF(C30="","",Cadets!$H15)</f>
        <v/>
      </c>
      <c r="F30" s="32" t="n"/>
      <c r="G30" s="32" t="n"/>
      <c r="H30" s="32" t="n"/>
    </row>
    <row r="31" ht="20" customHeight="1">
      <c r="B31" s="29">
        <f>IF(Cadets!$B16="","",ROW()-20)</f>
        <v/>
      </c>
      <c r="C31" s="28">
        <f>IF(Cadets!$B16="","",IF(Cadets!$I16&lt;&gt;"Active","",Cadets!$F16))</f>
        <v/>
      </c>
      <c r="D31" s="28">
        <f>IF(C31="","",Cadets!$B16)</f>
        <v/>
      </c>
      <c r="E31" s="28">
        <f>IF(C31="","",Cadets!$H16)</f>
        <v/>
      </c>
      <c r="F31" s="32" t="n"/>
      <c r="G31" s="32" t="n"/>
      <c r="H31" s="32" t="n"/>
    </row>
    <row r="32" ht="20" customHeight="1">
      <c r="B32" s="29">
        <f>IF(Cadets!$B17="","",ROW()-20)</f>
        <v/>
      </c>
      <c r="C32" s="28">
        <f>IF(Cadets!$B17="","",IF(Cadets!$I17&lt;&gt;"Active","",Cadets!$F17))</f>
        <v/>
      </c>
      <c r="D32" s="28">
        <f>IF(C32="","",Cadets!$B17)</f>
        <v/>
      </c>
      <c r="E32" s="28">
        <f>IF(C32="","",Cadets!$H17)</f>
        <v/>
      </c>
      <c r="F32" s="32" t="n"/>
      <c r="G32" s="32" t="n"/>
      <c r="H32" s="32" t="n"/>
    </row>
    <row r="33" ht="20" customHeight="1">
      <c r="B33" s="29">
        <f>IF(Cadets!$B18="","",ROW()-20)</f>
        <v/>
      </c>
      <c r="C33" s="28">
        <f>IF(Cadets!$B18="","",IF(Cadets!$I18&lt;&gt;"Active","",Cadets!$F18))</f>
        <v/>
      </c>
      <c r="D33" s="28">
        <f>IF(C33="","",Cadets!$B18)</f>
        <v/>
      </c>
      <c r="E33" s="28">
        <f>IF(C33="","",Cadets!$H18)</f>
        <v/>
      </c>
      <c r="F33" s="32" t="n"/>
      <c r="G33" s="32" t="n"/>
      <c r="H33" s="32" t="n"/>
    </row>
    <row r="34" ht="20" customHeight="1">
      <c r="B34" s="29">
        <f>IF(Cadets!$B19="","",ROW()-20)</f>
        <v/>
      </c>
      <c r="C34" s="28">
        <f>IF(Cadets!$B19="","",IF(Cadets!$I19&lt;&gt;"Active","",Cadets!$F19))</f>
        <v/>
      </c>
      <c r="D34" s="28">
        <f>IF(C34="","",Cadets!$B19)</f>
        <v/>
      </c>
      <c r="E34" s="28">
        <f>IF(C34="","",Cadets!$H19)</f>
        <v/>
      </c>
      <c r="F34" s="32" t="n"/>
      <c r="G34" s="32" t="n"/>
      <c r="H34" s="32" t="n"/>
    </row>
    <row r="35" ht="20" customHeight="1">
      <c r="B35" s="29">
        <f>IF(Cadets!$B20="","",ROW()-20)</f>
        <v/>
      </c>
      <c r="C35" s="28">
        <f>IF(Cadets!$B20="","",IF(Cadets!$I20&lt;&gt;"Active","",Cadets!$F20))</f>
        <v/>
      </c>
      <c r="D35" s="28">
        <f>IF(C35="","",Cadets!$B20)</f>
        <v/>
      </c>
      <c r="E35" s="28">
        <f>IF(C35="","",Cadets!$H20)</f>
        <v/>
      </c>
      <c r="F35" s="32" t="n"/>
      <c r="G35" s="32" t="n"/>
      <c r="H35" s="32" t="n"/>
    </row>
    <row r="36" ht="20" customHeight="1">
      <c r="B36" s="29">
        <f>IF(Cadets!$B21="","",ROW()-20)</f>
        <v/>
      </c>
      <c r="C36" s="28">
        <f>IF(Cadets!$B21="","",IF(Cadets!$I21&lt;&gt;"Active","",Cadets!$F21))</f>
        <v/>
      </c>
      <c r="D36" s="28">
        <f>IF(C36="","",Cadets!$B21)</f>
        <v/>
      </c>
      <c r="E36" s="28">
        <f>IF(C36="","",Cadets!$H21)</f>
        <v/>
      </c>
      <c r="F36" s="32" t="n"/>
      <c r="G36" s="32" t="n"/>
      <c r="H36" s="32" t="n"/>
    </row>
    <row r="37" ht="20" customHeight="1">
      <c r="B37" s="29">
        <f>IF(Cadets!$B22="","",ROW()-20)</f>
        <v/>
      </c>
      <c r="C37" s="28">
        <f>IF(Cadets!$B22="","",IF(Cadets!$I22&lt;&gt;"Active","",Cadets!$F22))</f>
        <v/>
      </c>
      <c r="D37" s="28">
        <f>IF(C37="","",Cadets!$B22)</f>
        <v/>
      </c>
      <c r="E37" s="28">
        <f>IF(C37="","",Cadets!$H22)</f>
        <v/>
      </c>
      <c r="F37" s="32" t="n"/>
      <c r="G37" s="32" t="n"/>
      <c r="H37" s="32" t="n"/>
    </row>
    <row r="38" ht="20" customHeight="1">
      <c r="B38" s="29">
        <f>IF(Cadets!$B23="","",ROW()-20)</f>
        <v/>
      </c>
      <c r="C38" s="28">
        <f>IF(Cadets!$B23="","",IF(Cadets!$I23&lt;&gt;"Active","",Cadets!$F23))</f>
        <v/>
      </c>
      <c r="D38" s="28">
        <f>IF(C38="","",Cadets!$B23)</f>
        <v/>
      </c>
      <c r="E38" s="28">
        <f>IF(C38="","",Cadets!$H23)</f>
        <v/>
      </c>
      <c r="F38" s="32" t="n"/>
      <c r="G38" s="32" t="n"/>
      <c r="H38" s="32" t="n"/>
    </row>
    <row r="39" ht="20" customHeight="1">
      <c r="B39" s="29">
        <f>IF(Cadets!$B24="","",ROW()-20)</f>
        <v/>
      </c>
      <c r="C39" s="28">
        <f>IF(Cadets!$B24="","",IF(Cadets!$I24&lt;&gt;"Active","",Cadets!$F24))</f>
        <v/>
      </c>
      <c r="D39" s="28">
        <f>IF(C39="","",Cadets!$B24)</f>
        <v/>
      </c>
      <c r="E39" s="28">
        <f>IF(C39="","",Cadets!$H24)</f>
        <v/>
      </c>
      <c r="F39" s="32" t="n"/>
      <c r="G39" s="32" t="n"/>
      <c r="H39" s="32" t="n"/>
    </row>
    <row r="40" ht="20" customHeight="1">
      <c r="B40" s="29">
        <f>IF(Cadets!$B25="","",ROW()-20)</f>
        <v/>
      </c>
      <c r="C40" s="28">
        <f>IF(Cadets!$B25="","",IF(Cadets!$I25&lt;&gt;"Active","",Cadets!$F25))</f>
        <v/>
      </c>
      <c r="D40" s="28">
        <f>IF(C40="","",Cadets!$B25)</f>
        <v/>
      </c>
      <c r="E40" s="28">
        <f>IF(C40="","",Cadets!$H25)</f>
        <v/>
      </c>
      <c r="F40" s="32" t="n"/>
      <c r="G40" s="32" t="n"/>
      <c r="H40" s="32" t="n"/>
    </row>
    <row r="41" ht="20" customHeight="1">
      <c r="B41" s="29">
        <f>IF(Cadets!$B26="","",ROW()-20)</f>
        <v/>
      </c>
      <c r="C41" s="28">
        <f>IF(Cadets!$B26="","",IF(Cadets!$I26&lt;&gt;"Active","",Cadets!$F26))</f>
        <v/>
      </c>
      <c r="D41" s="28">
        <f>IF(C41="","",Cadets!$B26)</f>
        <v/>
      </c>
      <c r="E41" s="28">
        <f>IF(C41="","",Cadets!$H26)</f>
        <v/>
      </c>
      <c r="F41" s="32" t="n"/>
      <c r="G41" s="32" t="n"/>
      <c r="H41" s="32" t="n"/>
    </row>
    <row r="42" ht="20" customHeight="1">
      <c r="B42" s="29">
        <f>IF(Cadets!$B27="","",ROW()-20)</f>
        <v/>
      </c>
      <c r="C42" s="28">
        <f>IF(Cadets!$B27="","",IF(Cadets!$I27&lt;&gt;"Active","",Cadets!$F27))</f>
        <v/>
      </c>
      <c r="D42" s="28">
        <f>IF(C42="","",Cadets!$B27)</f>
        <v/>
      </c>
      <c r="E42" s="28">
        <f>IF(C42="","",Cadets!$H27)</f>
        <v/>
      </c>
      <c r="F42" s="32" t="n"/>
      <c r="G42" s="32" t="n"/>
      <c r="H42" s="32" t="n"/>
    </row>
    <row r="43" ht="20" customHeight="1">
      <c r="B43" s="29">
        <f>IF(Cadets!$B28="","",ROW()-20)</f>
        <v/>
      </c>
      <c r="C43" s="28">
        <f>IF(Cadets!$B28="","",IF(Cadets!$I28&lt;&gt;"Active","",Cadets!$F28))</f>
        <v/>
      </c>
      <c r="D43" s="28">
        <f>IF(C43="","",Cadets!$B28)</f>
        <v/>
      </c>
      <c r="E43" s="28">
        <f>IF(C43="","",Cadets!$H28)</f>
        <v/>
      </c>
      <c r="F43" s="32" t="n"/>
      <c r="G43" s="32" t="n"/>
      <c r="H43" s="32" t="n"/>
    </row>
    <row r="44" ht="20" customHeight="1">
      <c r="B44" s="29">
        <f>IF(Cadets!$B29="","",ROW()-20)</f>
        <v/>
      </c>
      <c r="C44" s="28">
        <f>IF(Cadets!$B29="","",IF(Cadets!$I29&lt;&gt;"Active","",Cadets!$F29))</f>
        <v/>
      </c>
      <c r="D44" s="28">
        <f>IF(C44="","",Cadets!$B29)</f>
        <v/>
      </c>
      <c r="E44" s="28">
        <f>IF(C44="","",Cadets!$H29)</f>
        <v/>
      </c>
      <c r="F44" s="32" t="n"/>
      <c r="G44" s="32" t="n"/>
      <c r="H44" s="32" t="n"/>
    </row>
    <row r="45" ht="20" customHeight="1">
      <c r="B45" s="29">
        <f>IF(Cadets!$B30="","",ROW()-20)</f>
        <v/>
      </c>
      <c r="C45" s="28">
        <f>IF(Cadets!$B30="","",IF(Cadets!$I30&lt;&gt;"Active","",Cadets!$F30))</f>
        <v/>
      </c>
      <c r="D45" s="28">
        <f>IF(C45="","",Cadets!$B30)</f>
        <v/>
      </c>
      <c r="E45" s="28">
        <f>IF(C45="","",Cadets!$H30)</f>
        <v/>
      </c>
      <c r="F45" s="32" t="n"/>
      <c r="G45" s="32" t="n"/>
      <c r="H45" s="32" t="n"/>
    </row>
    <row r="46" ht="20" customHeight="1">
      <c r="B46" s="29">
        <f>IF(Cadets!$B31="","",ROW()-20)</f>
        <v/>
      </c>
      <c r="C46" s="28">
        <f>IF(Cadets!$B31="","",IF(Cadets!$I31&lt;&gt;"Active","",Cadets!$F31))</f>
        <v/>
      </c>
      <c r="D46" s="28">
        <f>IF(C46="","",Cadets!$B31)</f>
        <v/>
      </c>
      <c r="E46" s="28">
        <f>IF(C46="","",Cadets!$H31)</f>
        <v/>
      </c>
      <c r="F46" s="32" t="n"/>
      <c r="G46" s="32" t="n"/>
      <c r="H46" s="32" t="n"/>
    </row>
    <row r="47" ht="20" customHeight="1">
      <c r="B47" s="29">
        <f>IF(Cadets!$B32="","",ROW()-20)</f>
        <v/>
      </c>
      <c r="C47" s="28">
        <f>IF(Cadets!$B32="","",IF(Cadets!$I32&lt;&gt;"Active","",Cadets!$F32))</f>
        <v/>
      </c>
      <c r="D47" s="28">
        <f>IF(C47="","",Cadets!$B32)</f>
        <v/>
      </c>
      <c r="E47" s="28">
        <f>IF(C47="","",Cadets!$H32)</f>
        <v/>
      </c>
      <c r="F47" s="32" t="n"/>
      <c r="G47" s="32" t="n"/>
      <c r="H47" s="32" t="n"/>
    </row>
    <row r="48" ht="20" customHeight="1">
      <c r="B48" s="29">
        <f>IF(Cadets!$B33="","",ROW()-20)</f>
        <v/>
      </c>
      <c r="C48" s="28">
        <f>IF(Cadets!$B33="","",IF(Cadets!$I33&lt;&gt;"Active","",Cadets!$F33))</f>
        <v/>
      </c>
      <c r="D48" s="28">
        <f>IF(C48="","",Cadets!$B33)</f>
        <v/>
      </c>
      <c r="E48" s="28">
        <f>IF(C48="","",Cadets!$H33)</f>
        <v/>
      </c>
      <c r="F48" s="32" t="n"/>
      <c r="G48" s="32" t="n"/>
      <c r="H48" s="32" t="n"/>
    </row>
    <row r="49" ht="20" customHeight="1">
      <c r="B49" s="29">
        <f>IF(Cadets!$B34="","",ROW()-20)</f>
        <v/>
      </c>
      <c r="C49" s="28">
        <f>IF(Cadets!$B34="","",IF(Cadets!$I34&lt;&gt;"Active","",Cadets!$F34))</f>
        <v/>
      </c>
      <c r="D49" s="28">
        <f>IF(C49="","",Cadets!$B34)</f>
        <v/>
      </c>
      <c r="E49" s="28">
        <f>IF(C49="","",Cadets!$H34)</f>
        <v/>
      </c>
      <c r="F49" s="32" t="n"/>
      <c r="G49" s="32" t="n"/>
      <c r="H49" s="32" t="n"/>
    </row>
    <row r="50" ht="20" customHeight="1">
      <c r="B50" s="29">
        <f>IF(Cadets!$B35="","",ROW()-20)</f>
        <v/>
      </c>
      <c r="C50" s="28">
        <f>IF(Cadets!$B35="","",IF(Cadets!$I35&lt;&gt;"Active","",Cadets!$F35))</f>
        <v/>
      </c>
      <c r="D50" s="28">
        <f>IF(C50="","",Cadets!$B35)</f>
        <v/>
      </c>
      <c r="E50" s="28">
        <f>IF(C50="","",Cadets!$H35)</f>
        <v/>
      </c>
      <c r="F50" s="32" t="n"/>
      <c r="G50" s="32" t="n"/>
      <c r="H50" s="32" t="n"/>
    </row>
    <row r="51" ht="20" customHeight="1">
      <c r="B51" s="29">
        <f>IF(Cadets!$B36="","",ROW()-20)</f>
        <v/>
      </c>
      <c r="C51" s="28">
        <f>IF(Cadets!$B36="","",IF(Cadets!$I36&lt;&gt;"Active","",Cadets!$F36))</f>
        <v/>
      </c>
      <c r="D51" s="28">
        <f>IF(C51="","",Cadets!$B36)</f>
        <v/>
      </c>
      <c r="E51" s="28">
        <f>IF(C51="","",Cadets!$H36)</f>
        <v/>
      </c>
      <c r="F51" s="32" t="n"/>
      <c r="G51" s="32" t="n"/>
      <c r="H51" s="32" t="n"/>
    </row>
    <row r="52" ht="20" customHeight="1">
      <c r="B52" s="29">
        <f>IF(Cadets!$B37="","",ROW()-20)</f>
        <v/>
      </c>
      <c r="C52" s="28">
        <f>IF(Cadets!$B37="","",IF(Cadets!$I37&lt;&gt;"Active","",Cadets!$F37))</f>
        <v/>
      </c>
      <c r="D52" s="28">
        <f>IF(C52="","",Cadets!$B37)</f>
        <v/>
      </c>
      <c r="E52" s="28">
        <f>IF(C52="","",Cadets!$H37)</f>
        <v/>
      </c>
      <c r="F52" s="32" t="n"/>
      <c r="G52" s="32" t="n"/>
      <c r="H52" s="32" t="n"/>
    </row>
    <row r="53" ht="20" customHeight="1">
      <c r="B53" s="29">
        <f>IF(Cadets!$B38="","",ROW()-20)</f>
        <v/>
      </c>
      <c r="C53" s="28">
        <f>IF(Cadets!$B38="","",IF(Cadets!$I38&lt;&gt;"Active","",Cadets!$F38))</f>
        <v/>
      </c>
      <c r="D53" s="28">
        <f>IF(C53="","",Cadets!$B38)</f>
        <v/>
      </c>
      <c r="E53" s="28">
        <f>IF(C53="","",Cadets!$H38)</f>
        <v/>
      </c>
      <c r="F53" s="32" t="n"/>
      <c r="G53" s="32" t="n"/>
      <c r="H53" s="32" t="n"/>
    </row>
    <row r="54" ht="20" customHeight="1">
      <c r="B54" s="29">
        <f>IF(Cadets!$B39="","",ROW()-20)</f>
        <v/>
      </c>
      <c r="C54" s="28">
        <f>IF(Cadets!$B39="","",IF(Cadets!$I39&lt;&gt;"Active","",Cadets!$F39))</f>
        <v/>
      </c>
      <c r="D54" s="28">
        <f>IF(C54="","",Cadets!$B39)</f>
        <v/>
      </c>
      <c r="E54" s="28">
        <f>IF(C54="","",Cadets!$H39)</f>
        <v/>
      </c>
      <c r="F54" s="32" t="n"/>
      <c r="G54" s="32" t="n"/>
      <c r="H54" s="32" t="n"/>
    </row>
    <row r="55" ht="20" customHeight="1">
      <c r="B55" s="29">
        <f>IF(Cadets!$B40="","",ROW()-20)</f>
        <v/>
      </c>
      <c r="C55" s="28">
        <f>IF(Cadets!$B40="","",IF(Cadets!$I40&lt;&gt;"Active","",Cadets!$F40))</f>
        <v/>
      </c>
      <c r="D55" s="28">
        <f>IF(C55="","",Cadets!$B40)</f>
        <v/>
      </c>
      <c r="E55" s="28">
        <f>IF(C55="","",Cadets!$H40)</f>
        <v/>
      </c>
      <c r="F55" s="32" t="n"/>
      <c r="G55" s="32" t="n"/>
      <c r="H55" s="32" t="n"/>
    </row>
    <row r="56" ht="20" customHeight="1">
      <c r="B56" s="29">
        <f>IF(Cadets!$B41="","",ROW()-20)</f>
        <v/>
      </c>
      <c r="C56" s="28">
        <f>IF(Cadets!$B41="","",IF(Cadets!$I41&lt;&gt;"Active","",Cadets!$F41))</f>
        <v/>
      </c>
      <c r="D56" s="28">
        <f>IF(C56="","",Cadets!$B41)</f>
        <v/>
      </c>
      <c r="E56" s="28">
        <f>IF(C56="","",Cadets!$H41)</f>
        <v/>
      </c>
      <c r="F56" s="32" t="n"/>
      <c r="G56" s="32" t="n"/>
      <c r="H56" s="32" t="n"/>
    </row>
    <row r="57" ht="20" customHeight="1">
      <c r="B57" s="29">
        <f>IF(Cadets!$B42="","",ROW()-20)</f>
        <v/>
      </c>
      <c r="C57" s="28">
        <f>IF(Cadets!$B42="","",IF(Cadets!$I42&lt;&gt;"Active","",Cadets!$F42))</f>
        <v/>
      </c>
      <c r="D57" s="28">
        <f>IF(C57="","",Cadets!$B42)</f>
        <v/>
      </c>
      <c r="E57" s="28">
        <f>IF(C57="","",Cadets!$H42)</f>
        <v/>
      </c>
      <c r="F57" s="32" t="n"/>
      <c r="G57" s="32" t="n"/>
      <c r="H57" s="32" t="n"/>
    </row>
    <row r="58" ht="20" customHeight="1">
      <c r="B58" s="29">
        <f>IF(Cadets!$B43="","",ROW()-20)</f>
        <v/>
      </c>
      <c r="C58" s="28">
        <f>IF(Cadets!$B43="","",IF(Cadets!$I43&lt;&gt;"Active","",Cadets!$F43))</f>
        <v/>
      </c>
      <c r="D58" s="28">
        <f>IF(C58="","",Cadets!$B43)</f>
        <v/>
      </c>
      <c r="E58" s="28">
        <f>IF(C58="","",Cadets!$H43)</f>
        <v/>
      </c>
      <c r="F58" s="32" t="n"/>
      <c r="G58" s="32" t="n"/>
      <c r="H58" s="32" t="n"/>
    </row>
    <row r="59" ht="20" customHeight="1">
      <c r="B59" s="29">
        <f>IF(Cadets!$B44="","",ROW()-20)</f>
        <v/>
      </c>
      <c r="C59" s="28">
        <f>IF(Cadets!$B44="","",IF(Cadets!$I44&lt;&gt;"Active","",Cadets!$F44))</f>
        <v/>
      </c>
      <c r="D59" s="28">
        <f>IF(C59="","",Cadets!$B44)</f>
        <v/>
      </c>
      <c r="E59" s="28">
        <f>IF(C59="","",Cadets!$H44)</f>
        <v/>
      </c>
      <c r="F59" s="32" t="n"/>
      <c r="G59" s="32" t="n"/>
      <c r="H59" s="32" t="n"/>
    </row>
    <row r="60" ht="20" customHeight="1">
      <c r="B60" s="29">
        <f>IF(Cadets!$B45="","",ROW()-20)</f>
        <v/>
      </c>
      <c r="C60" s="28">
        <f>IF(Cadets!$B45="","",IF(Cadets!$I45&lt;&gt;"Active","",Cadets!$F45))</f>
        <v/>
      </c>
      <c r="D60" s="28">
        <f>IF(C60="","",Cadets!$B45)</f>
        <v/>
      </c>
      <c r="E60" s="28">
        <f>IF(C60="","",Cadets!$H45)</f>
        <v/>
      </c>
      <c r="F60" s="32" t="n"/>
      <c r="G60" s="32" t="n"/>
      <c r="H60" s="32" t="n"/>
    </row>
    <row r="61" ht="20" customHeight="1">
      <c r="B61" s="29">
        <f>IF(Cadets!$B46="","",ROW()-20)</f>
        <v/>
      </c>
      <c r="C61" s="28">
        <f>IF(Cadets!$B46="","",IF(Cadets!$I46&lt;&gt;"Active","",Cadets!$F46))</f>
        <v/>
      </c>
      <c r="D61" s="28">
        <f>IF(C61="","",Cadets!$B46)</f>
        <v/>
      </c>
      <c r="E61" s="28">
        <f>IF(C61="","",Cadets!$H46)</f>
        <v/>
      </c>
      <c r="F61" s="32" t="n"/>
      <c r="G61" s="32" t="n"/>
      <c r="H61" s="32" t="n"/>
    </row>
    <row r="62" ht="20" customHeight="1">
      <c r="B62" s="29">
        <f>IF(Cadets!$B47="","",ROW()-20)</f>
        <v/>
      </c>
      <c r="C62" s="28">
        <f>IF(Cadets!$B47="","",IF(Cadets!$I47&lt;&gt;"Active","",Cadets!$F47))</f>
        <v/>
      </c>
      <c r="D62" s="28">
        <f>IF(C62="","",Cadets!$B47)</f>
        <v/>
      </c>
      <c r="E62" s="28">
        <f>IF(C62="","",Cadets!$H47)</f>
        <v/>
      </c>
      <c r="F62" s="32" t="n"/>
      <c r="G62" s="32" t="n"/>
      <c r="H62" s="32" t="n"/>
    </row>
    <row r="63" ht="20" customHeight="1">
      <c r="B63" s="29">
        <f>IF(Cadets!$B48="","",ROW()-20)</f>
        <v/>
      </c>
      <c r="C63" s="28">
        <f>IF(Cadets!$B48="","",IF(Cadets!$I48&lt;&gt;"Active","",Cadets!$F48))</f>
        <v/>
      </c>
      <c r="D63" s="28">
        <f>IF(C63="","",Cadets!$B48)</f>
        <v/>
      </c>
      <c r="E63" s="28">
        <f>IF(C63="","",Cadets!$H48)</f>
        <v/>
      </c>
      <c r="F63" s="32" t="n"/>
      <c r="G63" s="32" t="n"/>
      <c r="H63" s="32" t="n"/>
    </row>
    <row r="64" ht="20" customHeight="1">
      <c r="B64" s="29">
        <f>IF(Cadets!$B49="","",ROW()-20)</f>
        <v/>
      </c>
      <c r="C64" s="28">
        <f>IF(Cadets!$B49="","",IF(Cadets!$I49&lt;&gt;"Active","",Cadets!$F49))</f>
        <v/>
      </c>
      <c r="D64" s="28">
        <f>IF(C64="","",Cadets!$B49)</f>
        <v/>
      </c>
      <c r="E64" s="28">
        <f>IF(C64="","",Cadets!$H49)</f>
        <v/>
      </c>
      <c r="F64" s="32" t="n"/>
      <c r="G64" s="32" t="n"/>
      <c r="H64" s="32" t="n"/>
    </row>
    <row r="65" ht="20" customHeight="1">
      <c r="B65" s="29">
        <f>IF(Cadets!$B50="","",ROW()-20)</f>
        <v/>
      </c>
      <c r="C65" s="28">
        <f>IF(Cadets!$B50="","",IF(Cadets!$I50&lt;&gt;"Active","",Cadets!$F50))</f>
        <v/>
      </c>
      <c r="D65" s="28">
        <f>IF(C65="","",Cadets!$B50)</f>
        <v/>
      </c>
      <c r="E65" s="28">
        <f>IF(C65="","",Cadets!$H50)</f>
        <v/>
      </c>
      <c r="F65" s="32" t="n"/>
      <c r="G65" s="32" t="n"/>
      <c r="H65" s="32" t="n"/>
    </row>
    <row r="66" ht="20" customHeight="1">
      <c r="B66" s="29">
        <f>IF(Cadets!$B51="","",ROW()-20)</f>
        <v/>
      </c>
      <c r="C66" s="28">
        <f>IF(Cadets!$B51="","",IF(Cadets!$I51&lt;&gt;"Active","",Cadets!$F51))</f>
        <v/>
      </c>
      <c r="D66" s="28">
        <f>IF(C66="","",Cadets!$B51)</f>
        <v/>
      </c>
      <c r="E66" s="28">
        <f>IF(C66="","",Cadets!$H51)</f>
        <v/>
      </c>
      <c r="F66" s="32" t="n"/>
      <c r="G66" s="32" t="n"/>
      <c r="H66" s="32" t="n"/>
    </row>
    <row r="67" ht="20" customHeight="1">
      <c r="B67" s="29">
        <f>IF(Cadets!$B52="","",ROW()-20)</f>
        <v/>
      </c>
      <c r="C67" s="28">
        <f>IF(Cadets!$B52="","",IF(Cadets!$I52&lt;&gt;"Active","",Cadets!$F52))</f>
        <v/>
      </c>
      <c r="D67" s="28">
        <f>IF(C67="","",Cadets!$B52)</f>
        <v/>
      </c>
      <c r="E67" s="28">
        <f>IF(C67="","",Cadets!$H52)</f>
        <v/>
      </c>
      <c r="F67" s="32" t="n"/>
      <c r="G67" s="32" t="n"/>
      <c r="H67" s="32" t="n"/>
    </row>
    <row r="68" ht="20" customHeight="1">
      <c r="B68" s="29">
        <f>IF(Cadets!$B53="","",ROW()-20)</f>
        <v/>
      </c>
      <c r="C68" s="28">
        <f>IF(Cadets!$B53="","",IF(Cadets!$I53&lt;&gt;"Active","",Cadets!$F53))</f>
        <v/>
      </c>
      <c r="D68" s="28">
        <f>IF(C68="","",Cadets!$B53)</f>
        <v/>
      </c>
      <c r="E68" s="28">
        <f>IF(C68="","",Cadets!$H53)</f>
        <v/>
      </c>
      <c r="F68" s="32" t="n"/>
      <c r="G68" s="32" t="n"/>
      <c r="H68" s="32" t="n"/>
    </row>
    <row r="69" ht="20" customHeight="1">
      <c r="B69" s="29">
        <f>IF(Cadets!$B54="","",ROW()-20)</f>
        <v/>
      </c>
      <c r="C69" s="28">
        <f>IF(Cadets!$B54="","",IF(Cadets!$I54&lt;&gt;"Active","",Cadets!$F54))</f>
        <v/>
      </c>
      <c r="D69" s="28">
        <f>IF(C69="","",Cadets!$B54)</f>
        <v/>
      </c>
      <c r="E69" s="28">
        <f>IF(C69="","",Cadets!$H54)</f>
        <v/>
      </c>
      <c r="F69" s="32" t="n"/>
      <c r="G69" s="32" t="n"/>
      <c r="H69" s="32" t="n"/>
    </row>
    <row r="70" ht="20" customHeight="1">
      <c r="B70" s="29">
        <f>IF(Cadets!$B55="","",ROW()-20)</f>
        <v/>
      </c>
      <c r="C70" s="28">
        <f>IF(Cadets!$B55="","",IF(Cadets!$I55&lt;&gt;"Active","",Cadets!$F55))</f>
        <v/>
      </c>
      <c r="D70" s="28">
        <f>IF(C70="","",Cadets!$B55)</f>
        <v/>
      </c>
      <c r="E70" s="28">
        <f>IF(C70="","",Cadets!$H55)</f>
        <v/>
      </c>
      <c r="F70" s="32" t="n"/>
      <c r="G70" s="32" t="n"/>
      <c r="H70" s="32" t="n"/>
    </row>
    <row r="71"/>
    <row r="72">
      <c r="B72" s="14"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3"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8" t="n">
        <v>1</v>
      </c>
      <c r="C17" s="33" t="inlineStr">
        <is>
          <t>Were the goals and objectives for the course provided at the beginning of the class?</t>
        </is>
      </c>
      <c r="D17" s="32" t="n"/>
      <c r="E17" s="32" t="n"/>
      <c r="F17" s="32" t="n"/>
      <c r="G17" s="32" t="n"/>
      <c r="H17" s="32" t="n"/>
    </row>
    <row r="18" ht="26" customHeight="1">
      <c r="B18" s="28" t="n">
        <v>2</v>
      </c>
      <c r="C18" s="33" t="inlineStr">
        <is>
          <t>Was the material presented in a logical order?</t>
        </is>
      </c>
      <c r="D18" s="32" t="n"/>
      <c r="E18" s="32" t="n"/>
      <c r="F18" s="32" t="n"/>
      <c r="G18" s="32" t="n"/>
      <c r="H18" s="32" t="n"/>
    </row>
    <row r="19" ht="26" customHeight="1">
      <c r="B19" s="28" t="n">
        <v>3</v>
      </c>
      <c r="C19" s="33" t="inlineStr">
        <is>
          <t>Was the course related to your job needs?</t>
        </is>
      </c>
      <c r="D19" s="32" t="n"/>
      <c r="E19" s="32" t="n"/>
      <c r="F19" s="32" t="n"/>
      <c r="G19" s="32" t="n"/>
      <c r="H19" s="32" t="n"/>
    </row>
    <row r="20" ht="26" customHeight="1">
      <c r="B20" s="28" t="n">
        <v>4</v>
      </c>
      <c r="C20" s="33" t="inlineStr">
        <is>
          <t>Were real-life examples or situations used to relate the material?</t>
        </is>
      </c>
      <c r="D20" s="32" t="n"/>
      <c r="E20" s="32" t="n"/>
      <c r="F20" s="32" t="n"/>
      <c r="G20" s="32" t="n"/>
      <c r="H20" s="32" t="n"/>
    </row>
    <row r="21" ht="26" customHeight="1">
      <c r="B21" s="28" t="n">
        <v>5</v>
      </c>
      <c r="C21" s="33" t="inlineStr">
        <is>
          <t>Will this course improve your job performance?</t>
        </is>
      </c>
      <c r="D21" s="32" t="n"/>
      <c r="E21" s="32" t="n"/>
      <c r="F21" s="32" t="n"/>
      <c r="G21" s="32" t="n"/>
      <c r="H21" s="32" t="n"/>
    </row>
    <row r="22" ht="26" customHeight="1">
      <c r="B22" s="28" t="n">
        <v>6</v>
      </c>
      <c r="C22" s="33" t="inlineStr">
        <is>
          <t>Were the teaching aids, demonstrations, and handout materials of adequate quality?</t>
        </is>
      </c>
      <c r="D22" s="32" t="n"/>
      <c r="E22" s="32" t="n"/>
      <c r="F22" s="32" t="n"/>
      <c r="G22" s="32" t="n"/>
      <c r="H22" s="32" t="n"/>
    </row>
    <row r="23" ht="26" customHeight="1">
      <c r="B23" s="28" t="n">
        <v>7</v>
      </c>
      <c r="C23" s="33" t="inlineStr">
        <is>
          <t>Was the instructor knowledgeable about the course material?</t>
        </is>
      </c>
      <c r="D23" s="32" t="n"/>
      <c r="E23" s="32" t="n"/>
      <c r="F23" s="32" t="n"/>
      <c r="G23" s="32" t="n"/>
      <c r="H23" s="32" t="n"/>
    </row>
    <row r="24" ht="26" customHeight="1">
      <c r="B24" s="28" t="n">
        <v>8</v>
      </c>
      <c r="C24" s="33" t="inlineStr">
        <is>
          <t>Did the instructor present the information in a clear and understandable way?</t>
        </is>
      </c>
      <c r="D24" s="32" t="n"/>
      <c r="E24" s="32" t="n"/>
      <c r="F24" s="32" t="n"/>
      <c r="G24" s="32" t="n"/>
      <c r="H24" s="32" t="n"/>
    </row>
    <row r="25" ht="26" customHeight="1">
      <c r="B25" s="28" t="n">
        <v>9</v>
      </c>
      <c r="C25" s="33" t="inlineStr">
        <is>
          <t>Did the instructor give you an opportunity to interact with the class or ask questions?</t>
        </is>
      </c>
      <c r="D25" s="32" t="n"/>
      <c r="E25" s="32" t="n"/>
      <c r="F25" s="32" t="n"/>
      <c r="G25" s="32" t="n"/>
      <c r="H25" s="32" t="n"/>
    </row>
    <row r="26" ht="26" customHeight="1">
      <c r="B26" s="28" t="n">
        <v>10</v>
      </c>
      <c r="C26" s="33" t="inlineStr">
        <is>
          <t>Did you get satisfactory answers to your questions about the material?</t>
        </is>
      </c>
      <c r="D26" s="32" t="n"/>
      <c r="E26" s="32" t="n"/>
      <c r="F26" s="32" t="n"/>
      <c r="G26" s="32" t="n"/>
      <c r="H26" s="32" t="n"/>
    </row>
    <row r="27" ht="26" customHeight="1">
      <c r="B27" s="28"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3" t="n">
        <v>1</v>
      </c>
      <c r="D5" s="35" t="inlineStr">
        <is>
          <t>Mode:</t>
        </is>
      </c>
      <c r="E5" s="23"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3"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6">
        <f>IFERROR(_xlfn._xlws.FILTER(_xlfn.HSTACK(rngWMnum,rngWMtitle,TEXT(rngWMassigned,"mm/dd"),TEXT(rngWMdue,"mm/dd"),rngWMprompt),IFERROR(_xlfn.XLOOKUP(rngWMassigned,nrCDdate,nrCDweek),0)=cfgHandoutWeek),"—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3"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9"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IF($B9="","",IFERROR(SUMIFS(nrES_Rec,nrES_PID,Cadets!$B6,nrES_Seq,cfgCurrentExamNum,nrES_Final,"Yes"),""))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IF($B9="","",sysFlags!$Q6)</f>
        <v/>
      </c>
    </row>
    <row r="10">
      <c r="B10" s="20">
        <f>IF(IF(OR(Cadets!$B7="",Cadets!$I7&lt;&gt;"Active"),FALSE,OR(cfgPreviewAgency=cfgHomeAgency,Cadets!$G7=cfgPreviewAgency)),Cadets!$F7,"")</f>
        <v/>
      </c>
      <c r="C10" s="20">
        <f>IF($B10="","",IFERROR(SUMIFS(nrES_Rec,nrES_PID,Cadets!$B7,nrES_Seq,cfgCurrentExamNum,nrES_Final,"Yes"),""))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IF($B10="","",sysFlags!$Q7)</f>
        <v/>
      </c>
    </row>
    <row r="11">
      <c r="B11" s="20">
        <f>IF(IF(OR(Cadets!$B8="",Cadets!$I8&lt;&gt;"Active"),FALSE,OR(cfgPreviewAgency=cfgHomeAgency,Cadets!$G8=cfgPreviewAgency)),Cadets!$F8,"")</f>
        <v/>
      </c>
      <c r="C11" s="20">
        <f>IF($B11="","",IFERROR(SUMIFS(nrES_Rec,nrES_PID,Cadets!$B8,nrES_Seq,cfgCurrentExamNum,nrES_Final,"Yes"),""))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IF($B11="","",sysFlags!$Q8)</f>
        <v/>
      </c>
    </row>
    <row r="12">
      <c r="B12" s="20">
        <f>IF(IF(OR(Cadets!$B9="",Cadets!$I9&lt;&gt;"Active"),FALSE,OR(cfgPreviewAgency=cfgHomeAgency,Cadets!$G9=cfgPreviewAgency)),Cadets!$F9,"")</f>
        <v/>
      </c>
      <c r="C12" s="20">
        <f>IF($B12="","",IFERROR(SUMIFS(nrES_Rec,nrES_PID,Cadets!$B9,nrES_Seq,cfgCurrentExamNum,nrES_Final,"Yes"),""))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IF($B12="","",sysFlags!$Q9)</f>
        <v/>
      </c>
    </row>
    <row r="13">
      <c r="B13" s="20">
        <f>IF(IF(OR(Cadets!$B10="",Cadets!$I10&lt;&gt;"Active"),FALSE,OR(cfgPreviewAgency=cfgHomeAgency,Cadets!$G10=cfgPreviewAgency)),Cadets!$F10,"")</f>
        <v/>
      </c>
      <c r="C13" s="20">
        <f>IF($B13="","",IFERROR(SUMIFS(nrES_Rec,nrES_PID,Cadets!$B10,nrES_Seq,cfgCurrentExamNum,nrES_Final,"Yes"),""))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IF($B13="","",sysFlags!$Q10)</f>
        <v/>
      </c>
    </row>
    <row r="14">
      <c r="B14" s="20">
        <f>IF(IF(OR(Cadets!$B11="",Cadets!$I11&lt;&gt;"Active"),FALSE,OR(cfgPreviewAgency=cfgHomeAgency,Cadets!$G11=cfgPreviewAgency)),Cadets!$F11,"")</f>
        <v/>
      </c>
      <c r="C14" s="20">
        <f>IF($B14="","",IFERROR(SUMIFS(nrES_Rec,nrES_PID,Cadets!$B11,nrES_Seq,cfgCurrentExamNum,nrES_Final,"Yes"),""))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IF($B14="","",sysFlags!$Q11)</f>
        <v/>
      </c>
    </row>
    <row r="15">
      <c r="B15" s="20">
        <f>IF(IF(OR(Cadets!$B12="",Cadets!$I12&lt;&gt;"Active"),FALSE,OR(cfgPreviewAgency=cfgHomeAgency,Cadets!$G12=cfgPreviewAgency)),Cadets!$F12,"")</f>
        <v/>
      </c>
      <c r="C15" s="20">
        <f>IF($B15="","",IFERROR(SUMIFS(nrES_Rec,nrES_PID,Cadets!$B12,nrES_Seq,cfgCurrentExamNum,nrES_Final,"Yes"),""))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IF($B15="","",sysFlags!$Q12)</f>
        <v/>
      </c>
    </row>
    <row r="16">
      <c r="B16" s="20">
        <f>IF(IF(OR(Cadets!$B13="",Cadets!$I13&lt;&gt;"Active"),FALSE,OR(cfgPreviewAgency=cfgHomeAgency,Cadets!$G13=cfgPreviewAgency)),Cadets!$F13,"")</f>
        <v/>
      </c>
      <c r="C16" s="20">
        <f>IF($B16="","",IFERROR(SUMIFS(nrES_Rec,nrES_PID,Cadets!$B13,nrES_Seq,cfgCurrentExamNum,nrES_Final,"Yes"),""))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IF($B16="","",sysFlags!$Q13)</f>
        <v/>
      </c>
    </row>
    <row r="17">
      <c r="B17" s="20">
        <f>IF(IF(OR(Cadets!$B14="",Cadets!$I14&lt;&gt;"Active"),FALSE,OR(cfgPreviewAgency=cfgHomeAgency,Cadets!$G14=cfgPreviewAgency)),Cadets!$F14,"")</f>
        <v/>
      </c>
      <c r="C17" s="20">
        <f>IF($B17="","",IFERROR(SUMIFS(nrES_Rec,nrES_PID,Cadets!$B14,nrES_Seq,cfgCurrentExamNum,nrES_Final,"Yes"),""))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IF($B17="","",sysFlags!$Q14)</f>
        <v/>
      </c>
    </row>
    <row r="18">
      <c r="B18" s="20">
        <f>IF(IF(OR(Cadets!$B15="",Cadets!$I15&lt;&gt;"Active"),FALSE,OR(cfgPreviewAgency=cfgHomeAgency,Cadets!$G15=cfgPreviewAgency)),Cadets!$F15,"")</f>
        <v/>
      </c>
      <c r="C18" s="20">
        <f>IF($B18="","",IFERROR(SUMIFS(nrES_Rec,nrES_PID,Cadets!$B15,nrES_Seq,cfgCurrentExamNum,nrES_Final,"Yes"),""))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IF($B18="","",sysFlags!$Q15)</f>
        <v/>
      </c>
    </row>
    <row r="19">
      <c r="B19" s="20">
        <f>IF(IF(OR(Cadets!$B16="",Cadets!$I16&lt;&gt;"Active"),FALSE,OR(cfgPreviewAgency=cfgHomeAgency,Cadets!$G16=cfgPreviewAgency)),Cadets!$F16,"")</f>
        <v/>
      </c>
      <c r="C19" s="20">
        <f>IF($B19="","",IFERROR(SUMIFS(nrES_Rec,nrES_PID,Cadets!$B16,nrES_Seq,cfgCurrentExamNum,nrES_Final,"Yes"),""))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IF($B19="","",sysFlags!$Q16)</f>
        <v/>
      </c>
    </row>
    <row r="20">
      <c r="B20" s="20">
        <f>IF(IF(OR(Cadets!$B17="",Cadets!$I17&lt;&gt;"Active"),FALSE,OR(cfgPreviewAgency=cfgHomeAgency,Cadets!$G17=cfgPreviewAgency)),Cadets!$F17,"")</f>
        <v/>
      </c>
      <c r="C20" s="20">
        <f>IF($B20="","",IFERROR(SUMIFS(nrES_Rec,nrES_PID,Cadets!$B17,nrES_Seq,cfgCurrentExamNum,nrES_Final,"Yes"),""))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IF($B20="","",sysFlags!$Q17)</f>
        <v/>
      </c>
    </row>
    <row r="21">
      <c r="B21" s="20">
        <f>IF(IF(OR(Cadets!$B18="",Cadets!$I18&lt;&gt;"Active"),FALSE,OR(cfgPreviewAgency=cfgHomeAgency,Cadets!$G18=cfgPreviewAgency)),Cadets!$F18,"")</f>
        <v/>
      </c>
      <c r="C21" s="20">
        <f>IF($B21="","",IFERROR(SUMIFS(nrES_Rec,nrES_PID,Cadets!$B18,nrES_Seq,cfgCurrentExamNum,nrES_Final,"Yes"),""))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IF($B21="","",sysFlags!$Q18)</f>
        <v/>
      </c>
    </row>
    <row r="22">
      <c r="B22" s="20">
        <f>IF(IF(OR(Cadets!$B19="",Cadets!$I19&lt;&gt;"Active"),FALSE,OR(cfgPreviewAgency=cfgHomeAgency,Cadets!$G19=cfgPreviewAgency)),Cadets!$F19,"")</f>
        <v/>
      </c>
      <c r="C22" s="20">
        <f>IF($B22="","",IFERROR(SUMIFS(nrES_Rec,nrES_PID,Cadets!$B19,nrES_Seq,cfgCurrentExamNum,nrES_Final,"Yes"),""))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IF($B22="","",sysFlags!$Q19)</f>
        <v/>
      </c>
    </row>
    <row r="23">
      <c r="B23" s="20">
        <f>IF(IF(OR(Cadets!$B20="",Cadets!$I20&lt;&gt;"Active"),FALSE,OR(cfgPreviewAgency=cfgHomeAgency,Cadets!$G20=cfgPreviewAgency)),Cadets!$F20,"")</f>
        <v/>
      </c>
      <c r="C23" s="20">
        <f>IF($B23="","",IFERROR(SUMIFS(nrES_Rec,nrES_PID,Cadets!$B20,nrES_Seq,cfgCurrentExamNum,nrES_Final,"Yes"),""))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IF($B23="","",sysFlags!$Q20)</f>
        <v/>
      </c>
    </row>
    <row r="24">
      <c r="B24" s="20">
        <f>IF(IF(OR(Cadets!$B21="",Cadets!$I21&lt;&gt;"Active"),FALSE,OR(cfgPreviewAgency=cfgHomeAgency,Cadets!$G21=cfgPreviewAgency)),Cadets!$F21,"")</f>
        <v/>
      </c>
      <c r="C24" s="20">
        <f>IF($B24="","",IFERROR(SUMIFS(nrES_Rec,nrES_PID,Cadets!$B21,nrES_Seq,cfgCurrentExamNum,nrES_Final,"Yes"),""))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IF($B24="","",sysFlags!$Q21)</f>
        <v/>
      </c>
    </row>
    <row r="25">
      <c r="B25" s="20">
        <f>IF(IF(OR(Cadets!$B22="",Cadets!$I22&lt;&gt;"Active"),FALSE,OR(cfgPreviewAgency=cfgHomeAgency,Cadets!$G22=cfgPreviewAgency)),Cadets!$F22,"")</f>
        <v/>
      </c>
      <c r="C25" s="20">
        <f>IF($B25="","",IFERROR(SUMIFS(nrES_Rec,nrES_PID,Cadets!$B22,nrES_Seq,cfgCurrentExamNum,nrES_Final,"Yes"),""))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IF($B25="","",sysFlags!$Q22)</f>
        <v/>
      </c>
    </row>
    <row r="26">
      <c r="B26" s="20">
        <f>IF(IF(OR(Cadets!$B23="",Cadets!$I23&lt;&gt;"Active"),FALSE,OR(cfgPreviewAgency=cfgHomeAgency,Cadets!$G23=cfgPreviewAgency)),Cadets!$F23,"")</f>
        <v/>
      </c>
      <c r="C26" s="20">
        <f>IF($B26="","",IFERROR(SUMIFS(nrES_Rec,nrES_PID,Cadets!$B23,nrES_Seq,cfgCurrentExamNum,nrES_Final,"Yes"),""))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IF($B26="","",sysFlags!$Q23)</f>
        <v/>
      </c>
    </row>
    <row r="27">
      <c r="B27" s="20">
        <f>IF(IF(OR(Cadets!$B24="",Cadets!$I24&lt;&gt;"Active"),FALSE,OR(cfgPreviewAgency=cfgHomeAgency,Cadets!$G24=cfgPreviewAgency)),Cadets!$F24,"")</f>
        <v/>
      </c>
      <c r="C27" s="20">
        <f>IF($B27="","",IFERROR(SUMIFS(nrES_Rec,nrES_PID,Cadets!$B24,nrES_Seq,cfgCurrentExamNum,nrES_Final,"Yes"),""))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IF($B27="","",sysFlags!$Q24)</f>
        <v/>
      </c>
    </row>
    <row r="28">
      <c r="B28" s="20">
        <f>IF(IF(OR(Cadets!$B25="",Cadets!$I25&lt;&gt;"Active"),FALSE,OR(cfgPreviewAgency=cfgHomeAgency,Cadets!$G25=cfgPreviewAgency)),Cadets!$F25,"")</f>
        <v/>
      </c>
      <c r="C28" s="20">
        <f>IF($B28="","",IFERROR(SUMIFS(nrES_Rec,nrES_PID,Cadets!$B25,nrES_Seq,cfgCurrentExamNum,nrES_Final,"Yes"),""))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IF($B28="","",sysFlags!$Q25)</f>
        <v/>
      </c>
    </row>
    <row r="29">
      <c r="B29" s="20">
        <f>IF(IF(OR(Cadets!$B26="",Cadets!$I26&lt;&gt;"Active"),FALSE,OR(cfgPreviewAgency=cfgHomeAgency,Cadets!$G26=cfgPreviewAgency)),Cadets!$F26,"")</f>
        <v/>
      </c>
      <c r="C29" s="20">
        <f>IF($B29="","",IFERROR(SUMIFS(nrES_Rec,nrES_PID,Cadets!$B26,nrES_Seq,cfgCurrentExamNum,nrES_Final,"Yes"),""))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IF($B29="","",sysFlags!$Q26)</f>
        <v/>
      </c>
    </row>
    <row r="30">
      <c r="B30" s="20">
        <f>IF(IF(OR(Cadets!$B27="",Cadets!$I27&lt;&gt;"Active"),FALSE,OR(cfgPreviewAgency=cfgHomeAgency,Cadets!$G27=cfgPreviewAgency)),Cadets!$F27,"")</f>
        <v/>
      </c>
      <c r="C30" s="20">
        <f>IF($B30="","",IFERROR(SUMIFS(nrES_Rec,nrES_PID,Cadets!$B27,nrES_Seq,cfgCurrentExamNum,nrES_Final,"Yes"),""))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IF($B30="","",sysFlags!$Q27)</f>
        <v/>
      </c>
    </row>
    <row r="31">
      <c r="B31" s="20">
        <f>IF(IF(OR(Cadets!$B28="",Cadets!$I28&lt;&gt;"Active"),FALSE,OR(cfgPreviewAgency=cfgHomeAgency,Cadets!$G28=cfgPreviewAgency)),Cadets!$F28,"")</f>
        <v/>
      </c>
      <c r="C31" s="20">
        <f>IF($B31="","",IFERROR(SUMIFS(nrES_Rec,nrES_PID,Cadets!$B28,nrES_Seq,cfgCurrentExamNum,nrES_Final,"Yes"),""))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IF($B31="","",sysFlags!$Q28)</f>
        <v/>
      </c>
    </row>
    <row r="32">
      <c r="B32" s="20">
        <f>IF(IF(OR(Cadets!$B29="",Cadets!$I29&lt;&gt;"Active"),FALSE,OR(cfgPreviewAgency=cfgHomeAgency,Cadets!$G29=cfgPreviewAgency)),Cadets!$F29,"")</f>
        <v/>
      </c>
      <c r="C32" s="20">
        <f>IF($B32="","",IFERROR(SUMIFS(nrES_Rec,nrES_PID,Cadets!$B29,nrES_Seq,cfgCurrentExamNum,nrES_Final,"Yes"),""))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IF($B32="","",sysFlags!$Q29)</f>
        <v/>
      </c>
    </row>
    <row r="33">
      <c r="B33" s="20">
        <f>IF(IF(OR(Cadets!$B30="",Cadets!$I30&lt;&gt;"Active"),FALSE,OR(cfgPreviewAgency=cfgHomeAgency,Cadets!$G30=cfgPreviewAgency)),Cadets!$F30,"")</f>
        <v/>
      </c>
      <c r="C33" s="20">
        <f>IF($B33="","",IFERROR(SUMIFS(nrES_Rec,nrES_PID,Cadets!$B30,nrES_Seq,cfgCurrentExamNum,nrES_Final,"Yes"),""))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IF($B33="","",sysFlags!$Q30)</f>
        <v/>
      </c>
    </row>
    <row r="34">
      <c r="B34" s="20">
        <f>IF(IF(OR(Cadets!$B31="",Cadets!$I31&lt;&gt;"Active"),FALSE,OR(cfgPreviewAgency=cfgHomeAgency,Cadets!$G31=cfgPreviewAgency)),Cadets!$F31,"")</f>
        <v/>
      </c>
      <c r="C34" s="20">
        <f>IF($B34="","",IFERROR(SUMIFS(nrES_Rec,nrES_PID,Cadets!$B31,nrES_Seq,cfgCurrentExamNum,nrES_Final,"Yes"),""))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IF($B34="","",sysFlags!$Q31)</f>
        <v/>
      </c>
    </row>
    <row r="35">
      <c r="B35" s="20">
        <f>IF(IF(OR(Cadets!$B32="",Cadets!$I32&lt;&gt;"Active"),FALSE,OR(cfgPreviewAgency=cfgHomeAgency,Cadets!$G32=cfgPreviewAgency)),Cadets!$F32,"")</f>
        <v/>
      </c>
      <c r="C35" s="20">
        <f>IF($B35="","",IFERROR(SUMIFS(nrES_Rec,nrES_PID,Cadets!$B32,nrES_Seq,cfgCurrentExamNum,nrES_Final,"Yes"),""))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IF($B35="","",sysFlags!$Q32)</f>
        <v/>
      </c>
    </row>
    <row r="36">
      <c r="B36" s="20">
        <f>IF(IF(OR(Cadets!$B33="",Cadets!$I33&lt;&gt;"Active"),FALSE,OR(cfgPreviewAgency=cfgHomeAgency,Cadets!$G33=cfgPreviewAgency)),Cadets!$F33,"")</f>
        <v/>
      </c>
      <c r="C36" s="20">
        <f>IF($B36="","",IFERROR(SUMIFS(nrES_Rec,nrES_PID,Cadets!$B33,nrES_Seq,cfgCurrentExamNum,nrES_Final,"Yes"),""))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IF($B36="","",sysFlags!$Q33)</f>
        <v/>
      </c>
    </row>
    <row r="37">
      <c r="B37" s="20">
        <f>IF(IF(OR(Cadets!$B34="",Cadets!$I34&lt;&gt;"Active"),FALSE,OR(cfgPreviewAgency=cfgHomeAgency,Cadets!$G34=cfgPreviewAgency)),Cadets!$F34,"")</f>
        <v/>
      </c>
      <c r="C37" s="20">
        <f>IF($B37="","",IFERROR(SUMIFS(nrES_Rec,nrES_PID,Cadets!$B34,nrES_Seq,cfgCurrentExamNum,nrES_Final,"Yes"),""))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IF($B37="","",sysFlags!$Q34)</f>
        <v/>
      </c>
    </row>
    <row r="38">
      <c r="B38" s="20">
        <f>IF(IF(OR(Cadets!$B35="",Cadets!$I35&lt;&gt;"Active"),FALSE,OR(cfgPreviewAgency=cfgHomeAgency,Cadets!$G35=cfgPreviewAgency)),Cadets!$F35,"")</f>
        <v/>
      </c>
      <c r="C38" s="20">
        <f>IF($B38="","",IFERROR(SUMIFS(nrES_Rec,nrES_PID,Cadets!$B35,nrES_Seq,cfgCurrentExamNum,nrES_Final,"Yes"),""))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IF($B38="","",sysFlags!$Q35)</f>
        <v/>
      </c>
    </row>
    <row r="39">
      <c r="B39" s="20">
        <f>IF(IF(OR(Cadets!$B36="",Cadets!$I36&lt;&gt;"Active"),FALSE,OR(cfgPreviewAgency=cfgHomeAgency,Cadets!$G36=cfgPreviewAgency)),Cadets!$F36,"")</f>
        <v/>
      </c>
      <c r="C39" s="20">
        <f>IF($B39="","",IFERROR(SUMIFS(nrES_Rec,nrES_PID,Cadets!$B36,nrES_Seq,cfgCurrentExamNum,nrES_Final,"Yes"),""))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IF($B39="","",sysFlags!$Q36)</f>
        <v/>
      </c>
    </row>
    <row r="40">
      <c r="B40" s="20">
        <f>IF(IF(OR(Cadets!$B37="",Cadets!$I37&lt;&gt;"Active"),FALSE,OR(cfgPreviewAgency=cfgHomeAgency,Cadets!$G37=cfgPreviewAgency)),Cadets!$F37,"")</f>
        <v/>
      </c>
      <c r="C40" s="20">
        <f>IF($B40="","",IFERROR(SUMIFS(nrES_Rec,nrES_PID,Cadets!$B37,nrES_Seq,cfgCurrentExamNum,nrES_Final,"Yes"),""))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IF($B40="","",sysFlags!$Q37)</f>
        <v/>
      </c>
    </row>
    <row r="41">
      <c r="B41" s="20">
        <f>IF(IF(OR(Cadets!$B38="",Cadets!$I38&lt;&gt;"Active"),FALSE,OR(cfgPreviewAgency=cfgHomeAgency,Cadets!$G38=cfgPreviewAgency)),Cadets!$F38,"")</f>
        <v/>
      </c>
      <c r="C41" s="20">
        <f>IF($B41="","",IFERROR(SUMIFS(nrES_Rec,nrES_PID,Cadets!$B38,nrES_Seq,cfgCurrentExamNum,nrES_Final,"Yes"),""))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IF($B41="","",sysFlags!$Q38)</f>
        <v/>
      </c>
    </row>
    <row r="42">
      <c r="B42" s="20">
        <f>IF(IF(OR(Cadets!$B39="",Cadets!$I39&lt;&gt;"Active"),FALSE,OR(cfgPreviewAgency=cfgHomeAgency,Cadets!$G39=cfgPreviewAgency)),Cadets!$F39,"")</f>
        <v/>
      </c>
      <c r="C42" s="20">
        <f>IF($B42="","",IFERROR(SUMIFS(nrES_Rec,nrES_PID,Cadets!$B39,nrES_Seq,cfgCurrentExamNum,nrES_Final,"Yes"),""))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IF($B42="","",sysFlags!$Q39)</f>
        <v/>
      </c>
    </row>
    <row r="43">
      <c r="B43" s="20">
        <f>IF(IF(OR(Cadets!$B40="",Cadets!$I40&lt;&gt;"Active"),FALSE,OR(cfgPreviewAgency=cfgHomeAgency,Cadets!$G40=cfgPreviewAgency)),Cadets!$F40,"")</f>
        <v/>
      </c>
      <c r="C43" s="20">
        <f>IF($B43="","",IFERROR(SUMIFS(nrES_Rec,nrES_PID,Cadets!$B40,nrES_Seq,cfgCurrentExamNum,nrES_Final,"Yes"),""))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IF($B43="","",sysFlags!$Q40)</f>
        <v/>
      </c>
    </row>
    <row r="44">
      <c r="B44" s="20">
        <f>IF(IF(OR(Cadets!$B41="",Cadets!$I41&lt;&gt;"Active"),FALSE,OR(cfgPreviewAgency=cfgHomeAgency,Cadets!$G41=cfgPreviewAgency)),Cadets!$F41,"")</f>
        <v/>
      </c>
      <c r="C44" s="20">
        <f>IF($B44="","",IFERROR(SUMIFS(nrES_Rec,nrES_PID,Cadets!$B41,nrES_Seq,cfgCurrentExamNum,nrES_Final,"Yes"),""))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IF($B44="","",sysFlags!$Q41)</f>
        <v/>
      </c>
    </row>
    <row r="45">
      <c r="B45" s="20">
        <f>IF(IF(OR(Cadets!$B42="",Cadets!$I42&lt;&gt;"Active"),FALSE,OR(cfgPreviewAgency=cfgHomeAgency,Cadets!$G42=cfgPreviewAgency)),Cadets!$F42,"")</f>
        <v/>
      </c>
      <c r="C45" s="20">
        <f>IF($B45="","",IFERROR(SUMIFS(nrES_Rec,nrES_PID,Cadets!$B42,nrES_Seq,cfgCurrentExamNum,nrES_Final,"Yes"),""))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IF($B45="","",sysFlags!$Q42)</f>
        <v/>
      </c>
    </row>
    <row r="46">
      <c r="B46" s="20">
        <f>IF(IF(OR(Cadets!$B43="",Cadets!$I43&lt;&gt;"Active"),FALSE,OR(cfgPreviewAgency=cfgHomeAgency,Cadets!$G43=cfgPreviewAgency)),Cadets!$F43,"")</f>
        <v/>
      </c>
      <c r="C46" s="20">
        <f>IF($B46="","",IFERROR(SUMIFS(nrES_Rec,nrES_PID,Cadets!$B43,nrES_Seq,cfgCurrentExamNum,nrES_Final,"Yes"),""))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IF($B46="","",sysFlags!$Q43)</f>
        <v/>
      </c>
    </row>
    <row r="47">
      <c r="B47" s="20">
        <f>IF(IF(OR(Cadets!$B44="",Cadets!$I44&lt;&gt;"Active"),FALSE,OR(cfgPreviewAgency=cfgHomeAgency,Cadets!$G44=cfgPreviewAgency)),Cadets!$F44,"")</f>
        <v/>
      </c>
      <c r="C47" s="20">
        <f>IF($B47="","",IFERROR(SUMIFS(nrES_Rec,nrES_PID,Cadets!$B44,nrES_Seq,cfgCurrentExamNum,nrES_Final,"Yes"),""))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IF($B47="","",sysFlags!$Q44)</f>
        <v/>
      </c>
    </row>
    <row r="48">
      <c r="B48" s="20">
        <f>IF(IF(OR(Cadets!$B45="",Cadets!$I45&lt;&gt;"Active"),FALSE,OR(cfgPreviewAgency=cfgHomeAgency,Cadets!$G45=cfgPreviewAgency)),Cadets!$F45,"")</f>
        <v/>
      </c>
      <c r="C48" s="20">
        <f>IF($B48="","",IFERROR(SUMIFS(nrES_Rec,nrES_PID,Cadets!$B45,nrES_Seq,cfgCurrentExamNum,nrES_Final,"Yes"),""))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IF($B48="","",sysFlags!$Q45)</f>
        <v/>
      </c>
    </row>
    <row r="49">
      <c r="B49" s="20">
        <f>IF(IF(OR(Cadets!$B46="",Cadets!$I46&lt;&gt;"Active"),FALSE,OR(cfgPreviewAgency=cfgHomeAgency,Cadets!$G46=cfgPreviewAgency)),Cadets!$F46,"")</f>
        <v/>
      </c>
      <c r="C49" s="20">
        <f>IF($B49="","",IFERROR(SUMIFS(nrES_Rec,nrES_PID,Cadets!$B46,nrES_Seq,cfgCurrentExamNum,nrES_Final,"Yes"),""))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IF($B49="","",sysFlags!$Q46)</f>
        <v/>
      </c>
    </row>
    <row r="50">
      <c r="B50" s="20">
        <f>IF(IF(OR(Cadets!$B47="",Cadets!$I47&lt;&gt;"Active"),FALSE,OR(cfgPreviewAgency=cfgHomeAgency,Cadets!$G47=cfgPreviewAgency)),Cadets!$F47,"")</f>
        <v/>
      </c>
      <c r="C50" s="20">
        <f>IF($B50="","",IFERROR(SUMIFS(nrES_Rec,nrES_PID,Cadets!$B47,nrES_Seq,cfgCurrentExamNum,nrES_Final,"Yes"),""))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IF($B50="","",sysFlags!$Q47)</f>
        <v/>
      </c>
    </row>
    <row r="51">
      <c r="B51" s="20">
        <f>IF(IF(OR(Cadets!$B48="",Cadets!$I48&lt;&gt;"Active"),FALSE,OR(cfgPreviewAgency=cfgHomeAgency,Cadets!$G48=cfgPreviewAgency)),Cadets!$F48,"")</f>
        <v/>
      </c>
      <c r="C51" s="20">
        <f>IF($B51="","",IFERROR(SUMIFS(nrES_Rec,nrES_PID,Cadets!$B48,nrES_Seq,cfgCurrentExamNum,nrES_Final,"Yes"),""))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IF($B51="","",sysFlags!$Q48)</f>
        <v/>
      </c>
    </row>
    <row r="52">
      <c r="B52" s="20">
        <f>IF(IF(OR(Cadets!$B49="",Cadets!$I49&lt;&gt;"Active"),FALSE,OR(cfgPreviewAgency=cfgHomeAgency,Cadets!$G49=cfgPreviewAgency)),Cadets!$F49,"")</f>
        <v/>
      </c>
      <c r="C52" s="20">
        <f>IF($B52="","",IFERROR(SUMIFS(nrES_Rec,nrES_PID,Cadets!$B49,nrES_Seq,cfgCurrentExamNum,nrES_Final,"Yes"),""))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IF($B52="","",sysFlags!$Q49)</f>
        <v/>
      </c>
    </row>
    <row r="53">
      <c r="B53" s="20">
        <f>IF(IF(OR(Cadets!$B50="",Cadets!$I50&lt;&gt;"Active"),FALSE,OR(cfgPreviewAgency=cfgHomeAgency,Cadets!$G50=cfgPreviewAgency)),Cadets!$F50,"")</f>
        <v/>
      </c>
      <c r="C53" s="20">
        <f>IF($B53="","",IFERROR(SUMIFS(nrES_Rec,nrES_PID,Cadets!$B50,nrES_Seq,cfgCurrentExamNum,nrES_Final,"Yes"),""))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IF($B53="","",sysFlags!$Q50)</f>
        <v/>
      </c>
    </row>
    <row r="54">
      <c r="B54" s="20">
        <f>IF(IF(OR(Cadets!$B51="",Cadets!$I51&lt;&gt;"Active"),FALSE,OR(cfgPreviewAgency=cfgHomeAgency,Cadets!$G51=cfgPreviewAgency)),Cadets!$F51,"")</f>
        <v/>
      </c>
      <c r="C54" s="20">
        <f>IF($B54="","",IFERROR(SUMIFS(nrES_Rec,nrES_PID,Cadets!$B51,nrES_Seq,cfgCurrentExamNum,nrES_Final,"Yes"),""))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IF($B54="","",sysFlags!$Q51)</f>
        <v/>
      </c>
    </row>
    <row r="55">
      <c r="B55" s="20">
        <f>IF(IF(OR(Cadets!$B52="",Cadets!$I52&lt;&gt;"Active"),FALSE,OR(cfgPreviewAgency=cfgHomeAgency,Cadets!$G52=cfgPreviewAgency)),Cadets!$F52,"")</f>
        <v/>
      </c>
      <c r="C55" s="20">
        <f>IF($B55="","",IFERROR(SUMIFS(nrES_Rec,nrES_PID,Cadets!$B52,nrES_Seq,cfgCurrentExamNum,nrES_Final,"Yes"),""))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IF($B55="","",sysFlags!$Q52)</f>
        <v/>
      </c>
    </row>
    <row r="56">
      <c r="B56" s="20">
        <f>IF(IF(OR(Cadets!$B53="",Cadets!$I53&lt;&gt;"Active"),FALSE,OR(cfgPreviewAgency=cfgHomeAgency,Cadets!$G53=cfgPreviewAgency)),Cadets!$F53,"")</f>
        <v/>
      </c>
      <c r="C56" s="20">
        <f>IF($B56="","",IFERROR(SUMIFS(nrES_Rec,nrES_PID,Cadets!$B53,nrES_Seq,cfgCurrentExamNum,nrES_Final,"Yes"),""))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IF($B56="","",sysFlags!$Q53)</f>
        <v/>
      </c>
    </row>
    <row r="57">
      <c r="B57" s="20">
        <f>IF(IF(OR(Cadets!$B54="",Cadets!$I54&lt;&gt;"Active"),FALSE,OR(cfgPreviewAgency=cfgHomeAgency,Cadets!$G54=cfgPreviewAgency)),Cadets!$F54,"")</f>
        <v/>
      </c>
      <c r="C57" s="20">
        <f>IF($B57="","",IFERROR(SUMIFS(nrES_Rec,nrES_PID,Cadets!$B54,nrES_Seq,cfgCurrentExamNum,nrES_Final,"Yes"),""))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IF($B57="","",sysFlags!$Q54)</f>
        <v/>
      </c>
    </row>
    <row r="58">
      <c r="B58" s="20">
        <f>IF(IF(OR(Cadets!$B55="",Cadets!$I55&lt;&gt;"Active"),FALSE,OR(cfgPreviewAgency=cfgHomeAgency,Cadets!$G55=cfgPreviewAgency)),Cadets!$F55,"")</f>
        <v/>
      </c>
      <c r="C58" s="20">
        <f>IF($B58="","",IFERROR(SUMIFS(nrES_Rec,nrES_PID,Cadets!$B55,nrES_Seq,cfgCurrentExamNum,nrES_Final,"Yes"),""))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IF($B58="","",sysFlags!$Q55)</f>
        <v/>
      </c>
    </row>
    <row r="59"/>
    <row r="60" ht="16" customHeight="1">
      <c r="B60" s="9" t="inlineStr">
        <is>
          <t>Discipline &amp; counseling since last email to this agency</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4.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7"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Weight: Major</t>
        </is>
      </c>
      <c r="C15" s="38" t="n">
        <v>0.4</v>
      </c>
      <c r="D15" s="2" t="inlineStr">
        <is>
          <t>Major exams weight</t>
        </is>
      </c>
      <c r="E15" s="2" t="inlineStr">
        <is>
          <t>cfgWeightMajor</t>
        </is>
      </c>
    </row>
    <row r="16">
      <c r="B16" s="3" t="inlineStr">
        <is>
          <t>Weight: Minor</t>
        </is>
      </c>
      <c r="C16" s="38" t="n">
        <v>0.3</v>
      </c>
      <c r="D16" s="2" t="inlineStr">
        <is>
          <t>Minor exams weight</t>
        </is>
      </c>
      <c r="E16" s="2" t="inlineStr">
        <is>
          <t>cfgWeightMinor</t>
        </is>
      </c>
    </row>
    <row r="17">
      <c r="B17" s="3" t="inlineStr">
        <is>
          <t>Weight: Spelling</t>
        </is>
      </c>
      <c r="C17" s="38" t="n">
        <v>0.1</v>
      </c>
      <c r="D17" s="2" t="inlineStr">
        <is>
          <t>Spelling weight</t>
        </is>
      </c>
      <c r="E17" s="2" t="inlineStr">
        <is>
          <t>cfgWeightSpelling</t>
        </is>
      </c>
    </row>
    <row r="18">
      <c r="B18" s="3" t="inlineStr">
        <is>
          <t>Weight: Final</t>
        </is>
      </c>
      <c r="C18" s="38" t="n">
        <v>0.2</v>
      </c>
      <c r="D18" s="2" t="inlineStr">
        <is>
          <t>Final exam weight</t>
        </is>
      </c>
      <c r="E18" s="2" t="inlineStr">
        <is>
          <t>cfgWeightFinal</t>
        </is>
      </c>
    </row>
    <row r="19">
      <c r="B19" s="3" t="inlineStr">
        <is>
          <t>Spelling Intervention Avg</t>
        </is>
      </c>
      <c r="C19" s="16" t="n">
        <v>75</v>
      </c>
      <c r="D19" s="2" t="inlineStr">
        <is>
          <t>Below this spelling avg = early intervention (300.4.B)</t>
        </is>
      </c>
      <c r="E19" s="2" t="inlineStr">
        <is>
          <t>cfgSpellInterventionAvg</t>
        </is>
      </c>
    </row>
    <row r="20">
      <c r="B20" s="3" t="inlineStr">
        <is>
          <t>Classroom Cap %</t>
        </is>
      </c>
      <c r="C20" s="39" t="n">
        <v>0.05</v>
      </c>
      <c r="D20" s="2" t="inlineStr">
        <is>
          <t>Attendance cap as % of total minutes</t>
        </is>
      </c>
      <c r="E20" s="2" t="inlineStr">
        <is>
          <t>cfgClassroomCapPct</t>
        </is>
      </c>
    </row>
    <row r="21">
      <c r="B21" s="3" t="inlineStr">
        <is>
          <t>PT Cap (sessions)</t>
        </is>
      </c>
      <c r="C21" s="16" t="n">
        <v>5</v>
      </c>
      <c r="D21" s="2" t="inlineStr">
        <is>
          <t>Max PT sessions missed</t>
        </is>
      </c>
      <c r="E21" s="2" t="inlineStr">
        <is>
          <t>cfgPTCapSessions</t>
        </is>
      </c>
    </row>
    <row r="22">
      <c r="B22" s="3" t="inlineStr">
        <is>
          <t>Attendance Advisory %</t>
        </is>
      </c>
      <c r="C22" s="38" t="n">
        <v>0.6</v>
      </c>
      <c r="D22" s="2" t="inlineStr">
        <is>
          <t>Tier 1 warning at this % of cap</t>
        </is>
      </c>
      <c r="E22" s="2" t="inlineStr">
        <is>
          <t>cfgAttendanceAdvisoryPct</t>
        </is>
      </c>
    </row>
    <row r="23">
      <c r="B23" s="3" t="inlineStr">
        <is>
          <t>Attendance Critical %</t>
        </is>
      </c>
      <c r="C23" s="38" t="n">
        <v>0.8</v>
      </c>
      <c r="D23" s="2" t="inlineStr">
        <is>
          <t>Tier 2 warning at this % of cap</t>
        </is>
      </c>
      <c r="E23" s="2" t="inlineStr">
        <is>
          <t>cfgAttendanceCriticalPct</t>
        </is>
      </c>
    </row>
    <row r="24">
      <c r="B24" s="3" t="inlineStr">
        <is>
          <t>Home Agency (gets all cadets)</t>
        </is>
      </c>
      <c r="C24" s="16" t="inlineStr">
        <is>
          <t>TPD</t>
        </is>
      </c>
      <c r="D24" s="2" t="inlineStr">
        <is>
          <t>Agency code whose email includes every cadet</t>
        </is>
      </c>
      <c r="E24" s="2" t="inlineStr">
        <is>
          <t>cfgHomeAgency</t>
        </is>
      </c>
    </row>
    <row r="25">
      <c r="B25" s="3" t="inlineStr">
        <is>
          <t>Current Exam # (for emails)</t>
        </is>
      </c>
      <c r="C25" s="16" t="n">
        <v>1</v>
      </c>
      <c r="D25" s="2" t="inlineStr">
        <is>
          <t>Sequence # of the exam to email</t>
        </is>
      </c>
      <c r="E25" s="2" t="inlineStr">
        <is>
          <t>cfgCurrentExamNum</t>
        </is>
      </c>
      <c r="F25" s="20">
        <f>IFERROR(MAX(_xlfn._xlws.FILTER(nrES_Seq,(nrES_Rec&lt;&gt;"")*(nrES_Seq&lt;&gt;""))),0)</f>
        <v/>
      </c>
      <c r="G25" s="2">
        <f>IF($F$25=0,"No exam scores posted yet",IF($C$25&gt;$F$25,"CHECK - set to Test "&amp;$C$25&amp;" but data only has Test "&amp;$F$25,IF($F$25&gt;$C$25,"CHECK - data shows Test "&amp;$F$25,"OK")))</f>
        <v/>
      </c>
    </row>
    <row r="26">
      <c r="B26" s="3" t="inlineStr">
        <is>
          <t>Current Spelling # (for emails)</t>
        </is>
      </c>
      <c r="C26" s="16" t="n">
        <v>1</v>
      </c>
      <c r="D26" s="2" t="inlineStr">
        <is>
          <t>Highest spelling test # administered</t>
        </is>
      </c>
      <c r="E26" s="2" t="inlineStr">
        <is>
          <t>cfgCurrentSpellingNum</t>
        </is>
      </c>
      <c r="F26" s="20">
        <f>MAX(SUMPRODUCT(MAX((nrSpellTaken&gt;0)*COLUMN(nrSpellTaken)))-COLUMN(Spelling!$D$1)+1,0)</f>
        <v/>
      </c>
      <c r="G26" s="2">
        <f>IF($C$26&lt;cfgCurrentExamNum,"CHECK - spelling will be OMITTED this run",IF($F$26&gt;$C$26,"CHECK - data shows Spelling "&amp;$F$26,"OK"))</f>
        <v/>
      </c>
    </row>
    <row r="27">
      <c r="B27" s="3" t="inlineStr">
        <is>
          <t>Writing Due Time</t>
        </is>
      </c>
      <c r="C27" s="16" t="inlineStr">
        <is>
          <t>1700</t>
        </is>
      </c>
      <c r="D27" s="2" t="inlineStr">
        <is>
          <t>Due time shown on handouts</t>
        </is>
      </c>
      <c r="E27" s="2" t="inlineStr">
        <is>
          <t>cfgWritingDueTime</t>
        </is>
      </c>
    </row>
    <row r="28">
      <c r="B28" s="3" t="inlineStr">
        <is>
          <t>PT Final Min Points</t>
        </is>
      </c>
      <c r="C28" s="16" t="n">
        <v>0</v>
      </c>
      <c r="D28" s="2" t="inlineStr">
        <is>
          <t>Minimum points to pass final PT (set when rubric arrives)</t>
        </is>
      </c>
      <c r="E28" s="2" t="inlineStr">
        <is>
          <t>cfgPTFinalMinPoints</t>
        </is>
      </c>
    </row>
    <row r="29">
      <c r="B29" s="3" t="inlineStr">
        <is>
          <t>Flag: consecutive exam fails</t>
        </is>
      </c>
      <c r="C29" s="16" t="n">
        <v>2</v>
      </c>
      <c r="D29" s="2" t="inlineStr">
        <is>
          <t>Consecutive graded-exam scores below passing</t>
        </is>
      </c>
      <c r="E29" s="2" t="inlineStr">
        <is>
          <t>cfgFlagConsecFails</t>
        </is>
      </c>
    </row>
    <row r="30">
      <c r="B30" s="3" t="inlineStr">
        <is>
          <t>Flag: grade drop (points)</t>
        </is>
      </c>
      <c r="C30" s="16" t="n">
        <v>10</v>
      </c>
      <c r="D30" s="2" t="inlineStr">
        <is>
          <t>Drop in recorded score vs cadet's prior exam</t>
        </is>
      </c>
      <c r="E30" s="2" t="inlineStr">
        <is>
          <t>cfgFlagGradeDrop</t>
        </is>
      </c>
    </row>
    <row r="31">
      <c r="B31" s="3" t="inlineStr">
        <is>
          <t>Flag: category margin</t>
        </is>
      </c>
      <c r="C31" s="16" t="n">
        <v>5</v>
      </c>
      <c r="D31" s="2" t="inlineStr">
        <is>
          <t>Category avg within this many points of 70</t>
        </is>
      </c>
      <c r="E31" s="2" t="inlineStr">
        <is>
          <t>cfgFlagCategoryMargin</t>
        </is>
      </c>
    </row>
    <row r="32">
      <c r="B32" s="3" t="inlineStr">
        <is>
          <t>Flag: attendance % of cap</t>
        </is>
      </c>
      <c r="C32" s="38" t="n">
        <v>0.6</v>
      </c>
      <c r="D32" s="2" t="inlineStr">
        <is>
          <t>Classroom or PT usage at/over this % of cap</t>
        </is>
      </c>
      <c r="E32" s="2" t="inlineStr">
        <is>
          <t>cfgFlagAttendancePct</t>
        </is>
      </c>
    </row>
    <row r="33">
      <c r="B33" s="3" t="inlineStr">
        <is>
          <t>Flag: open negative incidents</t>
        </is>
      </c>
      <c r="C33" s="16" t="n">
        <v>2</v>
      </c>
      <c r="D33" s="2" t="inlineStr">
        <is>
          <t>Open negative incidents at/above this count</t>
        </is>
      </c>
      <c r="E33" s="2" t="inlineStr">
        <is>
          <t>cfgFlagOpenIncidents</t>
        </is>
      </c>
    </row>
    <row r="34">
      <c r="B34" s="3" t="inlineStr">
        <is>
          <t>Flag: overdue writing</t>
        </is>
      </c>
      <c r="C34" s="16" t="n">
        <v>1</v>
      </c>
      <c r="D34" s="2" t="inlineStr">
        <is>
          <t>Overdue writing assignments at/above this count</t>
        </is>
      </c>
      <c r="E34" s="2" t="inlineStr">
        <is>
          <t>cfgFlagOverdueWriting</t>
        </is>
      </c>
    </row>
    <row r="35">
      <c r="B35" s="3" t="inlineStr">
        <is>
          <t>Classroom Cap (minutes)</t>
        </is>
      </c>
      <c r="C35" s="40">
        <f>ROUND(cfgTotalScheduledMinutes*cfgClassroomCapPct,0)</f>
        <v/>
      </c>
      <c r="D35" s="2" t="inlineStr">
        <is>
          <t>CALCULATED</t>
        </is>
      </c>
      <c r="E35" s="2" t="inlineStr">
        <is>
          <t>cfgClassroomCapMinutes</t>
        </is>
      </c>
    </row>
    <row r="36">
      <c r="B36" s="3" t="inlineStr">
        <is>
          <t>Weights total (must = 100%)</t>
        </is>
      </c>
      <c r="C36" s="41">
        <f>cfgWeightMajor+cfgWeightMinor+cfgWeightSpelling+cfgWeightFinal</f>
        <v/>
      </c>
      <c r="D36" s="2" t="inlineStr">
        <is>
          <t>CALCULATED</t>
        </is>
      </c>
      <c r="E36" s="2" t="inlineStr">
        <is>
          <t>cfgWeightsTotal</t>
        </is>
      </c>
    </row>
    <row r="37"/>
    <row r="38">
      <c r="B38" s="3" t="inlineStr">
        <is>
          <t>Weights check:</t>
        </is>
      </c>
      <c r="C38" s="20">
        <f>IF(ROUND(cfgWeightsTotal,4)=1,"OK","FIX: weights must total 100%")</f>
        <v/>
      </c>
    </row>
    <row r="39"/>
    <row r="40" ht="16" customHeight="1">
      <c r="B40" s="9" t="inlineStr">
        <is>
          <t>Final PT Assessment — Points Rubric (enter the approved chart when received; engine uses it as soon as points are present)</t>
        </is>
      </c>
      <c r="C40" s="8" t="n"/>
      <c r="D40" s="8" t="n"/>
      <c r="E40" s="8" t="n"/>
      <c r="F40" s="8" t="n"/>
      <c r="G40" s="8" t="n"/>
      <c r="H40" s="8" t="n"/>
      <c r="I40" s="8" t="n"/>
    </row>
    <row r="41" ht="26" customHeight="1">
      <c r="B41" s="12" t="inlineStr">
        <is>
          <t>Event</t>
        </is>
      </c>
      <c r="C41" s="12" t="inlineStr">
        <is>
          <t>Standard (baseline)</t>
        </is>
      </c>
      <c r="D41" s="12" t="inlineStr">
        <is>
          <t>Level 1 pts</t>
        </is>
      </c>
      <c r="E41" s="12" t="inlineStr">
        <is>
          <t>Level 2 pts</t>
        </is>
      </c>
      <c r="F41" s="12" t="inlineStr">
        <is>
          <t>Level 3 pts</t>
        </is>
      </c>
      <c r="G41" s="12" t="inlineStr">
        <is>
          <t>Level 4 pts</t>
        </is>
      </c>
      <c r="H41" s="12" t="inlineStr">
        <is>
          <t>Level 5 pts</t>
        </is>
      </c>
      <c r="I41" s="12" t="inlineStr">
        <is>
          <t>Level thresholds (notes)</t>
        </is>
      </c>
    </row>
    <row r="42">
      <c r="B42" s="3" t="inlineStr">
        <is>
          <t>Bench Press</t>
        </is>
      </c>
      <c r="C42" s="2" t="inlineStr">
        <is>
          <t>62% of body weight (1 rep)</t>
        </is>
      </c>
      <c r="D42" s="22" t="n"/>
      <c r="E42" s="22" t="n"/>
      <c r="F42" s="22" t="n"/>
      <c r="G42" s="22" t="n"/>
      <c r="H42" s="22" t="n"/>
      <c r="I42" s="22" t="n"/>
    </row>
    <row r="43">
      <c r="B43" s="3" t="inlineStr">
        <is>
          <t>Vertical Jump</t>
        </is>
      </c>
      <c r="C43" s="2" t="inlineStr">
        <is>
          <t>14.5 inches</t>
        </is>
      </c>
      <c r="D43" s="22" t="n"/>
      <c r="E43" s="22" t="n"/>
      <c r="F43" s="22" t="n"/>
      <c r="G43" s="22" t="n"/>
      <c r="H43" s="22" t="n"/>
      <c r="I43" s="22" t="n"/>
    </row>
    <row r="44">
      <c r="B44" s="3" t="inlineStr">
        <is>
          <t>Push-ups (1 min)</t>
        </is>
      </c>
      <c r="C44" s="2" t="inlineStr">
        <is>
          <t>18 reps</t>
        </is>
      </c>
      <c r="D44" s="22" t="n"/>
      <c r="E44" s="22" t="n"/>
      <c r="F44" s="22" t="n"/>
      <c r="G44" s="22" t="n"/>
      <c r="H44" s="22" t="n"/>
      <c r="I44" s="22" t="n"/>
    </row>
    <row r="45">
      <c r="B45" s="3" t="inlineStr">
        <is>
          <t>Sit-ups (1 min)</t>
        </is>
      </c>
      <c r="C45" s="2" t="inlineStr">
        <is>
          <t>16 reps</t>
        </is>
      </c>
      <c r="D45" s="22" t="n"/>
      <c r="E45" s="22" t="n"/>
      <c r="F45" s="22" t="n"/>
      <c r="G45" s="22" t="n"/>
      <c r="H45" s="22" t="n"/>
      <c r="I45" s="22" t="n"/>
    </row>
    <row r="46">
      <c r="B46" s="3" t="inlineStr">
        <is>
          <t>Illinois Agility</t>
        </is>
      </c>
      <c r="C46" s="2" t="inlineStr">
        <is>
          <t>under 22.0 seconds</t>
        </is>
      </c>
      <c r="D46" s="22" t="n"/>
      <c r="E46" s="22" t="n"/>
      <c r="F46" s="22" t="n"/>
      <c r="G46" s="22" t="n"/>
      <c r="H46" s="22" t="n"/>
      <c r="I46" s="22" t="n"/>
    </row>
    <row r="47">
      <c r="B47" s="3" t="inlineStr">
        <is>
          <t>1.5 Mile Run</t>
        </is>
      </c>
      <c r="C47" s="2" t="inlineStr">
        <is>
          <t>18:48 or less</t>
        </is>
      </c>
      <c r="D47" s="22" t="n"/>
      <c r="E47" s="22" t="n"/>
      <c r="F47" s="22" t="n"/>
      <c r="G47" s="22" t="n"/>
      <c r="H47" s="22" t="n"/>
      <c r="I47" s="22" t="n"/>
    </row>
    <row r="48">
      <c r="B48" s="3" t="inlineStr">
        <is>
          <t>300 Meter Run</t>
        </is>
      </c>
      <c r="C48" s="2" t="inlineStr">
        <is>
          <t>76 seconds or less</t>
        </is>
      </c>
      <c r="D48" s="22" t="n"/>
      <c r="E48" s="22" t="n"/>
      <c r="F48" s="22" t="n"/>
      <c r="G48" s="22" t="n"/>
      <c r="H48" s="22" t="n"/>
      <c r="I48" s="22" t="n"/>
    </row>
  </sheetData>
  <mergeCells count="1">
    <mergeCell ref="B40:I40"/>
  </mergeCell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LE Work</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Personal</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Medical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Military</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Disciplinary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Other</t>
        </is>
      </c>
      <c r="R11" s="16" t="inlineStr">
        <is>
          <t>Equipment</t>
        </is>
      </c>
      <c r="S11" s="16" t="inlineStr">
        <is>
          <t>Performance Plan</t>
        </is>
      </c>
    </row>
    <row r="12">
      <c r="E12" s="16" t="inlineStr">
        <is>
          <t>PT Missed</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Training Staff</t>
        </is>
      </c>
      <c r="C66" s="16" t="n"/>
      <c r="D66" s="16" t="n"/>
      <c r="E66" s="16" t="inlineStr">
        <is>
          <t>Guest/Outside</t>
        </is>
      </c>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Cadre</t>
        </is>
      </c>
      <c r="C67" s="16" t="n"/>
      <c r="D67" s="16" t="n"/>
      <c r="E67" s="16" t="inlineStr">
        <is>
          <t>Guest/Outside</t>
        </is>
      </c>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TJC</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TFD</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Kilgore College</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The Mayfair Building</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n"/>
      <c r="C72" s="16" t="n"/>
      <c r="D72" s="16" t="n"/>
      <c r="E72" s="16" t="n"/>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n"/>
      <c r="C73" s="16" t="n"/>
      <c r="D73" s="16" t="n"/>
      <c r="E73" s="16" t="n"/>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42"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42"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42"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42"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42"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42"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42"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42"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42"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42"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42"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42"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42"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42"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42"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42"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42"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42"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42"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42"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42"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42"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42"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42"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42"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42"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42"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42"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42"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42"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42"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42"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42"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42"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42"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42"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42"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42"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42"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42"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42"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42"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42"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42"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9"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7"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29">
        <f>IF(OR($B56="",$G56=0),"",ROUND($G56-$F56,2))</f>
        <v/>
      </c>
    </row>
    <row r="57">
      <c r="B57" s="16" t="inlineStr">
        <is>
          <t>Crash Investigation</t>
        </is>
      </c>
      <c r="E57" s="16" t="inlineStr">
        <is>
          <t>22</t>
        </is>
      </c>
      <c r="F57" s="16" t="n">
        <v>12</v>
      </c>
      <c r="G57" s="17">
        <f>IF($B57="","",ROUND(SUMIFS(nrSCH_Hrs,nrSCH_Act,$B57),2))</f>
        <v/>
      </c>
      <c r="H57" s="29">
        <f>IF(OR($B57="",$G57=0),"",ROUND($G57-$F57,2))</f>
        <v/>
      </c>
    </row>
    <row r="58">
      <c r="B58" s="16" t="inlineStr">
        <is>
          <t>TIM</t>
        </is>
      </c>
      <c r="E58" s="16" t="inlineStr">
        <is>
          <t>22</t>
        </is>
      </c>
      <c r="F58" s="16" t="n">
        <v>12</v>
      </c>
      <c r="G58" s="17">
        <f>IF($B58="","",ROUND(SUMIFS(nrSCH_Hrs,nrSCH_Act,$B58),2))</f>
        <v/>
      </c>
      <c r="H58" s="29">
        <f>IF(OR($B58="",$G58=0),"",ROUND($G58-$F58,2))</f>
        <v/>
      </c>
    </row>
    <row r="59">
      <c r="B59" s="16" t="inlineStr">
        <is>
          <t>Criminal Investigations - General Investigations</t>
        </is>
      </c>
      <c r="E59" s="16" t="inlineStr">
        <is>
          <t>32</t>
        </is>
      </c>
      <c r="F59" s="16" t="n">
        <v>16</v>
      </c>
      <c r="G59" s="17">
        <f>IF($B59="","",ROUND(SUMIFS(nrSCH_Hrs,nrSCH_Act,$B59),2))</f>
        <v/>
      </c>
      <c r="H59" s="29">
        <f>IF(OR($B59="",$G59=0),"",ROUND($G59-$F59,2))</f>
        <v/>
      </c>
    </row>
    <row r="60">
      <c r="B60" s="16" t="inlineStr">
        <is>
          <t>Criminal Investigations - Auto Theft</t>
        </is>
      </c>
      <c r="E60" s="16" t="inlineStr">
        <is>
          <t>32</t>
        </is>
      </c>
      <c r="F60" s="16" t="n">
        <v>4</v>
      </c>
      <c r="G60" s="17">
        <f>IF($B60="","",ROUND(SUMIFS(nrSCH_Hrs,nrSCH_Act,$B60),2))</f>
        <v/>
      </c>
      <c r="H60" s="29">
        <f>IF(OR($B60="",$G60=0),"",ROUND($G60-$F60,2))</f>
        <v/>
      </c>
    </row>
    <row r="61">
      <c r="B61" s="16" t="inlineStr">
        <is>
          <t>Criminal Investigations - Crime Scene</t>
        </is>
      </c>
      <c r="E61" s="16" t="inlineStr">
        <is>
          <t>32</t>
        </is>
      </c>
      <c r="F61" s="16" t="n">
        <v>8</v>
      </c>
      <c r="G61" s="17">
        <f>IF($B61="","",ROUND(SUMIFS(nrSCH_Hrs,nrSCH_Act,$B61),2))</f>
        <v/>
      </c>
      <c r="H61" s="29">
        <f>IF(OR($B61="",$G61=0),"",ROUND($G61-$F61,2))</f>
        <v/>
      </c>
    </row>
    <row r="62">
      <c r="B62" s="16" t="inlineStr">
        <is>
          <t>Criminal Investigations - Booking Operations</t>
        </is>
      </c>
      <c r="E62" s="16" t="inlineStr">
        <is>
          <t>32</t>
        </is>
      </c>
      <c r="F62" s="16" t="n">
        <v>8</v>
      </c>
      <c r="G62" s="17">
        <f>IF($B62="","",ROUND(SUMIFS(nrSCH_Hrs,nrSCH_Act,$B62),2))</f>
        <v/>
      </c>
      <c r="H62" s="29">
        <f>IF(OR($B62="",$G62=0),"",ROUND($G62-$F62,2))</f>
        <v/>
      </c>
    </row>
    <row r="63">
      <c r="B63" s="16" t="inlineStr">
        <is>
          <t>Criminal Investigations - Interview Techniques</t>
        </is>
      </c>
      <c r="E63" s="16" t="inlineStr">
        <is>
          <t>32</t>
        </is>
      </c>
      <c r="F63" s="16" t="n">
        <v>4</v>
      </c>
      <c r="G63" s="17">
        <f>IF($B63="","",ROUND(SUMIFS(nrSCH_Hrs,nrSCH_Act,$B63),2))</f>
        <v/>
      </c>
      <c r="H63" s="29">
        <f>IF(OR($B63="",$G63=0),"",ROUND($G63-$F63,2))</f>
        <v/>
      </c>
    </row>
    <row r="64">
      <c r="B64" s="16" t="inlineStr">
        <is>
          <t>Criminal Investigations - Case Management</t>
        </is>
      </c>
      <c r="E64" s="16" t="inlineStr">
        <is>
          <t>32</t>
        </is>
      </c>
      <c r="F64" s="16" t="n">
        <v>4</v>
      </c>
      <c r="G64" s="17">
        <f>IF($B64="","",ROUND(SUMIFS(nrSCH_Hrs,nrSCH_Act,$B64),2))</f>
        <v/>
      </c>
      <c r="H64" s="29">
        <f>IF(OR($B64="",$G64=0),"",ROUND($G64-$F64,2))</f>
        <v/>
      </c>
    </row>
    <row r="65">
      <c r="B65" s="16" t="inlineStr">
        <is>
          <t>Criminal Investigations - Media Relations</t>
        </is>
      </c>
      <c r="E65" s="16" t="inlineStr">
        <is>
          <t>32</t>
        </is>
      </c>
      <c r="F65" s="16" t="n">
        <v>4</v>
      </c>
      <c r="G65" s="17">
        <f>IF($B65="","",ROUND(SUMIFS(nrSCH_Hrs,nrSCH_Act,$B65),2))</f>
        <v/>
      </c>
      <c r="H65" s="29">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42"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42"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42"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42"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42"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42"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42"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42"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42"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42"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42"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42"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42"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42"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42"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42"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42"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42"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42"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42"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42"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42"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42"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42"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42"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42"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42"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42"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42"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42"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42"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42"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42"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42"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42"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42"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42"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42"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42"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42"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47.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48.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 must reach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IF($B6="","",IF($L6=0,"Yes","No"))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IF($B7="","",IF($L7=0,"Yes","No"))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IF($B8="","",IF($L8=0,"Yes","No"))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IF($B9="","",IF($L9=0,"Yes","No"))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IF($B10="","",IF($L10=0,"Yes","No"))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IF($B11="","",IF($L11=0,"Yes","No"))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IF($B12="","",IF($L12=0,"Yes","No"))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IF($B13="","",IF($L13=0,"Yes","No"))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IF($B14="","",IF($L14=0,"Yes","No"))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IF($B15="","",IF($L15=0,"Yes","No"))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IF($B16="","",IF($L16=0,"Yes","No"))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IF($B17="","",IF($L17=0,"Yes","No"))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IF($B18="","",IF($L18=0,"Yes","No"))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IF($B19="","",IF($L19=0,"Yes","No"))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IF($B20="","",IF($L20=0,"Yes","No"))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IF($B21="","",IF($L21=0,"Yes","No"))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IF($B22="","",IF($L22=0,"Yes","No"))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IF($B23="","",IF($L23=0,"Yes","No"))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IF($B24="","",IF($L24=0,"Yes","No"))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IF($B25="","",IF($L25=0,"Yes","No"))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IF($B26="","",IF($L26=0,"Yes","No"))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IF($B27="","",IF($L27=0,"Yes","No"))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IF($B28="","",IF($L28=0,"Yes","No"))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IF($B29="","",IF($L29=0,"Yes","No"))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IF($B30="","",IF($L30=0,"Yes","No"))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IF($B31="","",IF($L31=0,"Yes","No"))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IF($B32="","",IF($L32=0,"Yes","No"))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IF($B33="","",IF($L33=0,"Yes","No"))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IF($B34="","",IF($L34=0,"Yes","No"))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IF($B35="","",IF($L35=0,"Yes","No"))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IF($B36="","",IF($L36=0,"Yes","No"))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IF($B37="","",IF($L37=0,"Yes","No"))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IF($B38="","",IF($L38=0,"Yes","No"))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IF($B39="","",IF($L39=0,"Yes","No"))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IF($B40="","",IF($L40=0,"Yes","No"))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IF($B41="","",IF($L41=0,"Yes","No"))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IF($B42="","",IF($L42=0,"Yes","No"))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IF($B43="","",IF($L43=0,"Yes","No"))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IF($B44="","",IF($L44=0,"Yes","No"))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IF($B45="","",IF($L45=0,"Yes","No"))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IF($B46="","",IF($L46=0,"Yes","No"))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IF($B47="","",IF($L47=0,"Yes","No"))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IF($B48="","",IF($L48=0,"Yes","No"))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IF($B49="","",IF($L49=0,"Yes","No"))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IF($B50="","",IF($L50=0,"Yes","No"))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IF($B51="","",IF($L51=0,"Yes","No"))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IF($B52="","",IF($L52=0,"Yes","No"))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IF($B53="","",IF($L53=0,"Yes","No"))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IF($B54="","",IF($L54=0,"Yes","No"))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IF($B55="","",IF($L55=0,"Yes","No"))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ChainReviewCnt</t>
        </is>
      </c>
      <c r="L5" s="12" t="inlineStr">
        <is>
          <t>Incidents Elig</t>
        </is>
      </c>
      <c r="M5" s="12" t="inlineStr">
        <is>
          <t>Counseling Cnt</t>
        </is>
      </c>
      <c r="N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7" max="17"/>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Flag Count</t>
        </is>
      </c>
      <c r="Q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IF($B6="","",SUM($E6:$O6))</f>
        <v/>
      </c>
      <c r="Q6" s="17">
        <f>IF($B6="","",IF($P6=0,"",_xlfn.TEXTJOIN(";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IF($B7="","",SUM($E7:$O7))</f>
        <v/>
      </c>
      <c r="Q7" s="17">
        <f>IF($B7="","",IF($P7=0,"",_xlfn.TEXTJOIN(";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IF($B8="","",SUM($E8:$O8))</f>
        <v/>
      </c>
      <c r="Q8" s="17">
        <f>IF($B8="","",IF($P8=0,"",_xlfn.TEXTJOIN(";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IF($B9="","",SUM($E9:$O9))</f>
        <v/>
      </c>
      <c r="Q9" s="17">
        <f>IF($B9="","",IF($P9=0,"",_xlfn.TEXTJOIN(";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IF($B10="","",SUM($E10:$O10))</f>
        <v/>
      </c>
      <c r="Q10" s="17">
        <f>IF($B10="","",IF($P10=0,"",_xlfn.TEXTJOIN(";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IF($B11="","",SUM($E11:$O11))</f>
        <v/>
      </c>
      <c r="Q11" s="17">
        <f>IF($B11="","",IF($P11=0,"",_xlfn.TEXTJOIN(";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IF($B12="","",SUM($E12:$O12))</f>
        <v/>
      </c>
      <c r="Q12" s="17">
        <f>IF($B12="","",IF($P12=0,"",_xlfn.TEXTJOIN(";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IF($B13="","",SUM($E13:$O13))</f>
        <v/>
      </c>
      <c r="Q13" s="17">
        <f>IF($B13="","",IF($P13=0,"",_xlfn.TEXTJOIN(";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IF($B14="","",SUM($E14:$O14))</f>
        <v/>
      </c>
      <c r="Q14" s="17">
        <f>IF($B14="","",IF($P14=0,"",_xlfn.TEXTJOIN(";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IF($B15="","",SUM($E15:$O15))</f>
        <v/>
      </c>
      <c r="Q15" s="17">
        <f>IF($B15="","",IF($P15=0,"",_xlfn.TEXTJOIN(";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IF($B16="","",SUM($E16:$O16))</f>
        <v/>
      </c>
      <c r="Q16" s="17">
        <f>IF($B16="","",IF($P16=0,"",_xlfn.TEXTJOIN(";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IF($B17="","",SUM($E17:$O17))</f>
        <v/>
      </c>
      <c r="Q17" s="17">
        <f>IF($B17="","",IF($P17=0,"",_xlfn.TEXTJOIN(";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IF($B18="","",SUM($E18:$O18))</f>
        <v/>
      </c>
      <c r="Q18" s="17">
        <f>IF($B18="","",IF($P18=0,"",_xlfn.TEXTJOIN(";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IF($B19="","",SUM($E19:$O19))</f>
        <v/>
      </c>
      <c r="Q19" s="17">
        <f>IF($B19="","",IF($P19=0,"",_xlfn.TEXTJOIN(";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IF($B20="","",SUM($E20:$O20))</f>
        <v/>
      </c>
      <c r="Q20" s="17">
        <f>IF($B20="","",IF($P20=0,"",_xlfn.TEXTJOIN(";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IF($B21="","",SUM($E21:$O21))</f>
        <v/>
      </c>
      <c r="Q21" s="17">
        <f>IF($B21="","",IF($P21=0,"",_xlfn.TEXTJOIN(";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IF($B22="","",SUM($E22:$O22))</f>
        <v/>
      </c>
      <c r="Q22" s="17">
        <f>IF($B22="","",IF($P22=0,"",_xlfn.TEXTJOIN(";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IF($B23="","",SUM($E23:$O23))</f>
        <v/>
      </c>
      <c r="Q23" s="17">
        <f>IF($B23="","",IF($P23=0,"",_xlfn.TEXTJOIN(";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IF($B24="","",SUM($E24:$O24))</f>
        <v/>
      </c>
      <c r="Q24" s="17">
        <f>IF($B24="","",IF($P24=0,"",_xlfn.TEXTJOIN(";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IF($B25="","",SUM($E25:$O25))</f>
        <v/>
      </c>
      <c r="Q25" s="17">
        <f>IF($B25="","",IF($P25=0,"",_xlfn.TEXTJOIN(";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IF($B26="","",SUM($E26:$O26))</f>
        <v/>
      </c>
      <c r="Q26" s="17">
        <f>IF($B26="","",IF($P26=0,"",_xlfn.TEXTJOIN(";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IF($B27="","",SUM($E27:$O27))</f>
        <v/>
      </c>
      <c r="Q27" s="17">
        <f>IF($B27="","",IF($P27=0,"",_xlfn.TEXTJOIN(";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IF($B28="","",SUM($E28:$O28))</f>
        <v/>
      </c>
      <c r="Q28" s="17">
        <f>IF($B28="","",IF($P28=0,"",_xlfn.TEXTJOIN(";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IF($B29="","",SUM($E29:$O29))</f>
        <v/>
      </c>
      <c r="Q29" s="17">
        <f>IF($B29="","",IF($P29=0,"",_xlfn.TEXTJOIN(";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IF($B30="","",SUM($E30:$O30))</f>
        <v/>
      </c>
      <c r="Q30" s="17">
        <f>IF($B30="","",IF($P30=0,"",_xlfn.TEXTJOIN(";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IF($B31="","",SUM($E31:$O31))</f>
        <v/>
      </c>
      <c r="Q31" s="17">
        <f>IF($B31="","",IF($P31=0,"",_xlfn.TEXTJOIN(";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IF($B32="","",SUM($E32:$O32))</f>
        <v/>
      </c>
      <c r="Q32" s="17">
        <f>IF($B32="","",IF($P32=0,"",_xlfn.TEXTJOIN(";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IF($B33="","",SUM($E33:$O33))</f>
        <v/>
      </c>
      <c r="Q33" s="17">
        <f>IF($B33="","",IF($P33=0,"",_xlfn.TEXTJOIN(";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IF($B34="","",SUM($E34:$O34))</f>
        <v/>
      </c>
      <c r="Q34" s="17">
        <f>IF($B34="","",IF($P34=0,"",_xlfn.TEXTJOIN(";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IF($B35="","",SUM($E35:$O35))</f>
        <v/>
      </c>
      <c r="Q35" s="17">
        <f>IF($B35="","",IF($P35=0,"",_xlfn.TEXTJOIN(";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IF($B36="","",SUM($E36:$O36))</f>
        <v/>
      </c>
      <c r="Q36" s="17">
        <f>IF($B36="","",IF($P36=0,"",_xlfn.TEXTJOIN(";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IF($B37="","",SUM($E37:$O37))</f>
        <v/>
      </c>
      <c r="Q37" s="17">
        <f>IF($B37="","",IF($P37=0,"",_xlfn.TEXTJOIN(";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IF($B38="","",SUM($E38:$O38))</f>
        <v/>
      </c>
      <c r="Q38" s="17">
        <f>IF($B38="","",IF($P38=0,"",_xlfn.TEXTJOIN(";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IF($B39="","",SUM($E39:$O39))</f>
        <v/>
      </c>
      <c r="Q39" s="17">
        <f>IF($B39="","",IF($P39=0,"",_xlfn.TEXTJOIN(";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IF($B40="","",SUM($E40:$O40))</f>
        <v/>
      </c>
      <c r="Q40" s="17">
        <f>IF($B40="","",IF($P40=0,"",_xlfn.TEXTJOIN(";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IF($B41="","",SUM($E41:$O41))</f>
        <v/>
      </c>
      <c r="Q41" s="17">
        <f>IF($B41="","",IF($P41=0,"",_xlfn.TEXTJOIN(";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IF($B42="","",SUM($E42:$O42))</f>
        <v/>
      </c>
      <c r="Q42" s="17">
        <f>IF($B42="","",IF($P42=0,"",_xlfn.TEXTJOIN(";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IF($B43="","",SUM($E43:$O43))</f>
        <v/>
      </c>
      <c r="Q43" s="17">
        <f>IF($B43="","",IF($P43=0,"",_xlfn.TEXTJOIN(";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IF($B44="","",SUM($E44:$O44))</f>
        <v/>
      </c>
      <c r="Q44" s="17">
        <f>IF($B44="","",IF($P44=0,"",_xlfn.TEXTJOIN(";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IF($B45="","",SUM($E45:$O45))</f>
        <v/>
      </c>
      <c r="Q45" s="17">
        <f>IF($B45="","",IF($P45=0,"",_xlfn.TEXTJOIN(";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IF($B46="","",SUM($E46:$O46))</f>
        <v/>
      </c>
      <c r="Q46" s="17">
        <f>IF($B46="","",IF($P46=0,"",_xlfn.TEXTJOIN(";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IF($B47="","",SUM($E47:$O47))</f>
        <v/>
      </c>
      <c r="Q47" s="17">
        <f>IF($B47="","",IF($P47=0,"",_xlfn.TEXTJOIN(";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IF($B48="","",SUM($E48:$O48))</f>
        <v/>
      </c>
      <c r="Q48" s="17">
        <f>IF($B48="","",IF($P48=0,"",_xlfn.TEXTJOIN(";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IF($B49="","",SUM($E49:$O49))</f>
        <v/>
      </c>
      <c r="Q49" s="17">
        <f>IF($B49="","",IF($P49=0,"",_xlfn.TEXTJOIN(";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IF($B50="","",SUM($E50:$O50))</f>
        <v/>
      </c>
      <c r="Q50" s="17">
        <f>IF($B50="","",IF($P50=0,"",_xlfn.TEXTJOIN(";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IF($B51="","",SUM($E51:$O51))</f>
        <v/>
      </c>
      <c r="Q51" s="17">
        <f>IF($B51="","",IF($P51=0,"",_xlfn.TEXTJOIN(";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IF($B52="","",SUM($E52:$O52))</f>
        <v/>
      </c>
      <c r="Q52" s="17">
        <f>IF($B52="","",IF($P52=0,"",_xlfn.TEXTJOIN(";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IF($B53="","",SUM($E53:$O53))</f>
        <v/>
      </c>
      <c r="Q53" s="17">
        <f>IF($B53="","",IF($P53=0,"",_xlfn.TEXTJOIN(";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IF($B54="","",SUM($E54:$O54))</f>
        <v/>
      </c>
      <c r="Q54" s="17">
        <f>IF($B54="","",IF($P54=0,"",_xlfn.TEXTJOIN(";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IF($B55="","",SUM($E55:$O55))</f>
        <v/>
      </c>
      <c r="Q55" s="17">
        <f>IF($B55="","",IF($P55=0,"",_xlfn.TEXTJOIN(";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IF($B6="","",IF(AND($E6="Yes",$F6="Yes",$G6="Yes",$H6="Yes",$I6="Yes",$J6="Yes",$K6="Yes",$L6="Yes",$M6="No"),"Yes","No"))</f>
        <v/>
      </c>
      <c r="O6" s="17">
        <f>IF($B6="","",IF($N6="Yes","Eligible",TRIM(IF($E6&lt;&gt;"Yes","Academic; ","")&amp;IF($F6&lt;&gt;"Yes","Classroom; ","")&amp;IF($G6&lt;&gt;"Yes","PT sessions; ","")&amp;IF($H6&lt;&gt;"Yes","Skills; ","")&amp;IF($I6&lt;&gt;"Yes","Incidents; ","")&amp;IF($J6&lt;&gt;"Yes","Writing; ","")&amp;IF($K6&lt;&gt;"Yes","Makeup owed; ","")&amp;IF($L6&lt;&gt;"Yes","Final PT;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IF($B7="","",IF(AND($E7="Yes",$F7="Yes",$G7="Yes",$H7="Yes",$I7="Yes",$J7="Yes",$K7="Yes",$L7="Yes",$M7="No"),"Yes","No"))</f>
        <v/>
      </c>
      <c r="O7" s="17">
        <f>IF($B7="","",IF($N7="Yes","Eligible",TRIM(IF($E7&lt;&gt;"Yes","Academic; ","")&amp;IF($F7&lt;&gt;"Yes","Classroom; ","")&amp;IF($G7&lt;&gt;"Yes","PT sessions; ","")&amp;IF($H7&lt;&gt;"Yes","Skills; ","")&amp;IF($I7&lt;&gt;"Yes","Incidents; ","")&amp;IF($J7&lt;&gt;"Yes","Writing; ","")&amp;IF($K7&lt;&gt;"Yes","Makeup owed; ","")&amp;IF($L7&lt;&gt;"Yes","Final PT;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IF($B8="","",IF(AND($E8="Yes",$F8="Yes",$G8="Yes",$H8="Yes",$I8="Yes",$J8="Yes",$K8="Yes",$L8="Yes",$M8="No"),"Yes","No"))</f>
        <v/>
      </c>
      <c r="O8" s="17">
        <f>IF($B8="","",IF($N8="Yes","Eligible",TRIM(IF($E8&lt;&gt;"Yes","Academic; ","")&amp;IF($F8&lt;&gt;"Yes","Classroom; ","")&amp;IF($G8&lt;&gt;"Yes","PT sessions; ","")&amp;IF($H8&lt;&gt;"Yes","Skills; ","")&amp;IF($I8&lt;&gt;"Yes","Incidents; ","")&amp;IF($J8&lt;&gt;"Yes","Writing; ","")&amp;IF($K8&lt;&gt;"Yes","Makeup owed; ","")&amp;IF($L8&lt;&gt;"Yes","Final PT;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IF($B9="","",IF(AND($E9="Yes",$F9="Yes",$G9="Yes",$H9="Yes",$I9="Yes",$J9="Yes",$K9="Yes",$L9="Yes",$M9="No"),"Yes","No"))</f>
        <v/>
      </c>
      <c r="O9" s="17">
        <f>IF($B9="","",IF($N9="Yes","Eligible",TRIM(IF($E9&lt;&gt;"Yes","Academic; ","")&amp;IF($F9&lt;&gt;"Yes","Classroom; ","")&amp;IF($G9&lt;&gt;"Yes","PT sessions; ","")&amp;IF($H9&lt;&gt;"Yes","Skills; ","")&amp;IF($I9&lt;&gt;"Yes","Incidents; ","")&amp;IF($J9&lt;&gt;"Yes","Writing; ","")&amp;IF($K9&lt;&gt;"Yes","Makeup owed; ","")&amp;IF($L9&lt;&gt;"Yes","Final PT;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IF($B10="","",IF(AND($E10="Yes",$F10="Yes",$G10="Yes",$H10="Yes",$I10="Yes",$J10="Yes",$K10="Yes",$L10="Yes",$M10="No"),"Yes","No"))</f>
        <v/>
      </c>
      <c r="O10" s="17">
        <f>IF($B10="","",IF($N10="Yes","Eligible",TRIM(IF($E10&lt;&gt;"Yes","Academic; ","")&amp;IF($F10&lt;&gt;"Yes","Classroom; ","")&amp;IF($G10&lt;&gt;"Yes","PT sessions; ","")&amp;IF($H10&lt;&gt;"Yes","Skills; ","")&amp;IF($I10&lt;&gt;"Yes","Incidents; ","")&amp;IF($J10&lt;&gt;"Yes","Writing; ","")&amp;IF($K10&lt;&gt;"Yes","Makeup owed; ","")&amp;IF($L10&lt;&gt;"Yes","Final PT;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IF($B11="","",IF(AND($E11="Yes",$F11="Yes",$G11="Yes",$H11="Yes",$I11="Yes",$J11="Yes",$K11="Yes",$L11="Yes",$M11="No"),"Yes","No"))</f>
        <v/>
      </c>
      <c r="O11" s="17">
        <f>IF($B11="","",IF($N11="Yes","Eligible",TRIM(IF($E11&lt;&gt;"Yes","Academic; ","")&amp;IF($F11&lt;&gt;"Yes","Classroom; ","")&amp;IF($G11&lt;&gt;"Yes","PT sessions; ","")&amp;IF($H11&lt;&gt;"Yes","Skills; ","")&amp;IF($I11&lt;&gt;"Yes","Incidents; ","")&amp;IF($J11&lt;&gt;"Yes","Writing; ","")&amp;IF($K11&lt;&gt;"Yes","Makeup owed; ","")&amp;IF($L11&lt;&gt;"Yes","Final PT;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IF($B12="","",IF(AND($E12="Yes",$F12="Yes",$G12="Yes",$H12="Yes",$I12="Yes",$J12="Yes",$K12="Yes",$L12="Yes",$M12="No"),"Yes","No"))</f>
        <v/>
      </c>
      <c r="O12" s="17">
        <f>IF($B12="","",IF($N12="Yes","Eligible",TRIM(IF($E12&lt;&gt;"Yes","Academic; ","")&amp;IF($F12&lt;&gt;"Yes","Classroom; ","")&amp;IF($G12&lt;&gt;"Yes","PT sessions; ","")&amp;IF($H12&lt;&gt;"Yes","Skills; ","")&amp;IF($I12&lt;&gt;"Yes","Incidents; ","")&amp;IF($J12&lt;&gt;"Yes","Writing; ","")&amp;IF($K12&lt;&gt;"Yes","Makeup owed; ","")&amp;IF($L12&lt;&gt;"Yes","Final PT;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IF($B13="","",IF(AND($E13="Yes",$F13="Yes",$G13="Yes",$H13="Yes",$I13="Yes",$J13="Yes",$K13="Yes",$L13="Yes",$M13="No"),"Yes","No"))</f>
        <v/>
      </c>
      <c r="O13" s="17">
        <f>IF($B13="","",IF($N13="Yes","Eligible",TRIM(IF($E13&lt;&gt;"Yes","Academic; ","")&amp;IF($F13&lt;&gt;"Yes","Classroom; ","")&amp;IF($G13&lt;&gt;"Yes","PT sessions; ","")&amp;IF($H13&lt;&gt;"Yes","Skills; ","")&amp;IF($I13&lt;&gt;"Yes","Incidents; ","")&amp;IF($J13&lt;&gt;"Yes","Writing; ","")&amp;IF($K13&lt;&gt;"Yes","Makeup owed; ","")&amp;IF($L13&lt;&gt;"Yes","Final PT;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IF($B14="","",IF(AND($E14="Yes",$F14="Yes",$G14="Yes",$H14="Yes",$I14="Yes",$J14="Yes",$K14="Yes",$L14="Yes",$M14="No"),"Yes","No"))</f>
        <v/>
      </c>
      <c r="O14" s="17">
        <f>IF($B14="","",IF($N14="Yes","Eligible",TRIM(IF($E14&lt;&gt;"Yes","Academic; ","")&amp;IF($F14&lt;&gt;"Yes","Classroom; ","")&amp;IF($G14&lt;&gt;"Yes","PT sessions; ","")&amp;IF($H14&lt;&gt;"Yes","Skills; ","")&amp;IF($I14&lt;&gt;"Yes","Incidents; ","")&amp;IF($J14&lt;&gt;"Yes","Writing; ","")&amp;IF($K14&lt;&gt;"Yes","Makeup owed; ","")&amp;IF($L14&lt;&gt;"Yes","Final PT;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IF($B15="","",IF(AND($E15="Yes",$F15="Yes",$G15="Yes",$H15="Yes",$I15="Yes",$J15="Yes",$K15="Yes",$L15="Yes",$M15="No"),"Yes","No"))</f>
        <v/>
      </c>
      <c r="O15" s="17">
        <f>IF($B15="","",IF($N15="Yes","Eligible",TRIM(IF($E15&lt;&gt;"Yes","Academic; ","")&amp;IF($F15&lt;&gt;"Yes","Classroom; ","")&amp;IF($G15&lt;&gt;"Yes","PT sessions; ","")&amp;IF($H15&lt;&gt;"Yes","Skills; ","")&amp;IF($I15&lt;&gt;"Yes","Incidents; ","")&amp;IF($J15&lt;&gt;"Yes","Writing; ","")&amp;IF($K15&lt;&gt;"Yes","Makeup owed; ","")&amp;IF($L15&lt;&gt;"Yes","Final PT;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IF($B16="","",IF(AND($E16="Yes",$F16="Yes",$G16="Yes",$H16="Yes",$I16="Yes",$J16="Yes",$K16="Yes",$L16="Yes",$M16="No"),"Yes","No"))</f>
        <v/>
      </c>
      <c r="O16" s="17">
        <f>IF($B16="","",IF($N16="Yes","Eligible",TRIM(IF($E16&lt;&gt;"Yes","Academic; ","")&amp;IF($F16&lt;&gt;"Yes","Classroom; ","")&amp;IF($G16&lt;&gt;"Yes","PT sessions; ","")&amp;IF($H16&lt;&gt;"Yes","Skills; ","")&amp;IF($I16&lt;&gt;"Yes","Incidents; ","")&amp;IF($J16&lt;&gt;"Yes","Writing; ","")&amp;IF($K16&lt;&gt;"Yes","Makeup owed; ","")&amp;IF($L16&lt;&gt;"Yes","Final PT;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IF($B17="","",IF(AND($E17="Yes",$F17="Yes",$G17="Yes",$H17="Yes",$I17="Yes",$J17="Yes",$K17="Yes",$L17="Yes",$M17="No"),"Yes","No"))</f>
        <v/>
      </c>
      <c r="O17" s="17">
        <f>IF($B17="","",IF($N17="Yes","Eligible",TRIM(IF($E17&lt;&gt;"Yes","Academic; ","")&amp;IF($F17&lt;&gt;"Yes","Classroom; ","")&amp;IF($G17&lt;&gt;"Yes","PT sessions; ","")&amp;IF($H17&lt;&gt;"Yes","Skills; ","")&amp;IF($I17&lt;&gt;"Yes","Incidents; ","")&amp;IF($J17&lt;&gt;"Yes","Writing; ","")&amp;IF($K17&lt;&gt;"Yes","Makeup owed; ","")&amp;IF($L17&lt;&gt;"Yes","Final PT;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IF($B18="","",IF(AND($E18="Yes",$F18="Yes",$G18="Yes",$H18="Yes",$I18="Yes",$J18="Yes",$K18="Yes",$L18="Yes",$M18="No"),"Yes","No"))</f>
        <v/>
      </c>
      <c r="O18" s="17">
        <f>IF($B18="","",IF($N18="Yes","Eligible",TRIM(IF($E18&lt;&gt;"Yes","Academic; ","")&amp;IF($F18&lt;&gt;"Yes","Classroom; ","")&amp;IF($G18&lt;&gt;"Yes","PT sessions; ","")&amp;IF($H18&lt;&gt;"Yes","Skills; ","")&amp;IF($I18&lt;&gt;"Yes","Incidents; ","")&amp;IF($J18&lt;&gt;"Yes","Writing; ","")&amp;IF($K18&lt;&gt;"Yes","Makeup owed; ","")&amp;IF($L18&lt;&gt;"Yes","Final PT;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IF($B19="","",IF(AND($E19="Yes",$F19="Yes",$G19="Yes",$H19="Yes",$I19="Yes",$J19="Yes",$K19="Yes",$L19="Yes",$M19="No"),"Yes","No"))</f>
        <v/>
      </c>
      <c r="O19" s="17">
        <f>IF($B19="","",IF($N19="Yes","Eligible",TRIM(IF($E19&lt;&gt;"Yes","Academic; ","")&amp;IF($F19&lt;&gt;"Yes","Classroom; ","")&amp;IF($G19&lt;&gt;"Yes","PT sessions; ","")&amp;IF($H19&lt;&gt;"Yes","Skills; ","")&amp;IF($I19&lt;&gt;"Yes","Incidents; ","")&amp;IF($J19&lt;&gt;"Yes","Writing; ","")&amp;IF($K19&lt;&gt;"Yes","Makeup owed; ","")&amp;IF($L19&lt;&gt;"Yes","Final PT;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IF($B20="","",IF(AND($E20="Yes",$F20="Yes",$G20="Yes",$H20="Yes",$I20="Yes",$J20="Yes",$K20="Yes",$L20="Yes",$M20="No"),"Yes","No"))</f>
        <v/>
      </c>
      <c r="O20" s="17">
        <f>IF($B20="","",IF($N20="Yes","Eligible",TRIM(IF($E20&lt;&gt;"Yes","Academic; ","")&amp;IF($F20&lt;&gt;"Yes","Classroom; ","")&amp;IF($G20&lt;&gt;"Yes","PT sessions; ","")&amp;IF($H20&lt;&gt;"Yes","Skills; ","")&amp;IF($I20&lt;&gt;"Yes","Incidents; ","")&amp;IF($J20&lt;&gt;"Yes","Writing; ","")&amp;IF($K20&lt;&gt;"Yes","Makeup owed; ","")&amp;IF($L20&lt;&gt;"Yes","Final PT;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IF($B21="","",IF(AND($E21="Yes",$F21="Yes",$G21="Yes",$H21="Yes",$I21="Yes",$J21="Yes",$K21="Yes",$L21="Yes",$M21="No"),"Yes","No"))</f>
        <v/>
      </c>
      <c r="O21" s="17">
        <f>IF($B21="","",IF($N21="Yes","Eligible",TRIM(IF($E21&lt;&gt;"Yes","Academic; ","")&amp;IF($F21&lt;&gt;"Yes","Classroom; ","")&amp;IF($G21&lt;&gt;"Yes","PT sessions; ","")&amp;IF($H21&lt;&gt;"Yes","Skills; ","")&amp;IF($I21&lt;&gt;"Yes","Incidents; ","")&amp;IF($J21&lt;&gt;"Yes","Writing; ","")&amp;IF($K21&lt;&gt;"Yes","Makeup owed; ","")&amp;IF($L21&lt;&gt;"Yes","Final PT;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IF($B22="","",IF(AND($E22="Yes",$F22="Yes",$G22="Yes",$H22="Yes",$I22="Yes",$J22="Yes",$K22="Yes",$L22="Yes",$M22="No"),"Yes","No"))</f>
        <v/>
      </c>
      <c r="O22" s="17">
        <f>IF($B22="","",IF($N22="Yes","Eligible",TRIM(IF($E22&lt;&gt;"Yes","Academic; ","")&amp;IF($F22&lt;&gt;"Yes","Classroom; ","")&amp;IF($G22&lt;&gt;"Yes","PT sessions; ","")&amp;IF($H22&lt;&gt;"Yes","Skills; ","")&amp;IF($I22&lt;&gt;"Yes","Incidents; ","")&amp;IF($J22&lt;&gt;"Yes","Writing; ","")&amp;IF($K22&lt;&gt;"Yes","Makeup owed; ","")&amp;IF($L22&lt;&gt;"Yes","Final PT;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IF($B23="","",IF(AND($E23="Yes",$F23="Yes",$G23="Yes",$H23="Yes",$I23="Yes",$J23="Yes",$K23="Yes",$L23="Yes",$M23="No"),"Yes","No"))</f>
        <v/>
      </c>
      <c r="O23" s="17">
        <f>IF($B23="","",IF($N23="Yes","Eligible",TRIM(IF($E23&lt;&gt;"Yes","Academic; ","")&amp;IF($F23&lt;&gt;"Yes","Classroom; ","")&amp;IF($G23&lt;&gt;"Yes","PT sessions; ","")&amp;IF($H23&lt;&gt;"Yes","Skills; ","")&amp;IF($I23&lt;&gt;"Yes","Incidents; ","")&amp;IF($J23&lt;&gt;"Yes","Writing; ","")&amp;IF($K23&lt;&gt;"Yes","Makeup owed; ","")&amp;IF($L23&lt;&gt;"Yes","Final PT;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IF($B24="","",IF(AND($E24="Yes",$F24="Yes",$G24="Yes",$H24="Yes",$I24="Yes",$J24="Yes",$K24="Yes",$L24="Yes",$M24="No"),"Yes","No"))</f>
        <v/>
      </c>
      <c r="O24" s="17">
        <f>IF($B24="","",IF($N24="Yes","Eligible",TRIM(IF($E24&lt;&gt;"Yes","Academic; ","")&amp;IF($F24&lt;&gt;"Yes","Classroom; ","")&amp;IF($G24&lt;&gt;"Yes","PT sessions; ","")&amp;IF($H24&lt;&gt;"Yes","Skills; ","")&amp;IF($I24&lt;&gt;"Yes","Incidents; ","")&amp;IF($J24&lt;&gt;"Yes","Writing; ","")&amp;IF($K24&lt;&gt;"Yes","Makeup owed; ","")&amp;IF($L24&lt;&gt;"Yes","Final PT;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IF($B25="","",IF(AND($E25="Yes",$F25="Yes",$G25="Yes",$H25="Yes",$I25="Yes",$J25="Yes",$K25="Yes",$L25="Yes",$M25="No"),"Yes","No"))</f>
        <v/>
      </c>
      <c r="O25" s="17">
        <f>IF($B25="","",IF($N25="Yes","Eligible",TRIM(IF($E25&lt;&gt;"Yes","Academic; ","")&amp;IF($F25&lt;&gt;"Yes","Classroom; ","")&amp;IF($G25&lt;&gt;"Yes","PT sessions; ","")&amp;IF($H25&lt;&gt;"Yes","Skills; ","")&amp;IF($I25&lt;&gt;"Yes","Incidents; ","")&amp;IF($J25&lt;&gt;"Yes","Writing; ","")&amp;IF($K25&lt;&gt;"Yes","Makeup owed; ","")&amp;IF($L25&lt;&gt;"Yes","Final PT;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IF($B26="","",IF(AND($E26="Yes",$F26="Yes",$G26="Yes",$H26="Yes",$I26="Yes",$J26="Yes",$K26="Yes",$L26="Yes",$M26="No"),"Yes","No"))</f>
        <v/>
      </c>
      <c r="O26" s="17">
        <f>IF($B26="","",IF($N26="Yes","Eligible",TRIM(IF($E26&lt;&gt;"Yes","Academic; ","")&amp;IF($F26&lt;&gt;"Yes","Classroom; ","")&amp;IF($G26&lt;&gt;"Yes","PT sessions; ","")&amp;IF($H26&lt;&gt;"Yes","Skills; ","")&amp;IF($I26&lt;&gt;"Yes","Incidents; ","")&amp;IF($J26&lt;&gt;"Yes","Writing; ","")&amp;IF($K26&lt;&gt;"Yes","Makeup owed; ","")&amp;IF($L26&lt;&gt;"Yes","Final PT;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IF($B27="","",IF(AND($E27="Yes",$F27="Yes",$G27="Yes",$H27="Yes",$I27="Yes",$J27="Yes",$K27="Yes",$L27="Yes",$M27="No"),"Yes","No"))</f>
        <v/>
      </c>
      <c r="O27" s="17">
        <f>IF($B27="","",IF($N27="Yes","Eligible",TRIM(IF($E27&lt;&gt;"Yes","Academic; ","")&amp;IF($F27&lt;&gt;"Yes","Classroom; ","")&amp;IF($G27&lt;&gt;"Yes","PT sessions; ","")&amp;IF($H27&lt;&gt;"Yes","Skills; ","")&amp;IF($I27&lt;&gt;"Yes","Incidents; ","")&amp;IF($J27&lt;&gt;"Yes","Writing; ","")&amp;IF($K27&lt;&gt;"Yes","Makeup owed; ","")&amp;IF($L27&lt;&gt;"Yes","Final PT;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IF($B28="","",IF(AND($E28="Yes",$F28="Yes",$G28="Yes",$H28="Yes",$I28="Yes",$J28="Yes",$K28="Yes",$L28="Yes",$M28="No"),"Yes","No"))</f>
        <v/>
      </c>
      <c r="O28" s="17">
        <f>IF($B28="","",IF($N28="Yes","Eligible",TRIM(IF($E28&lt;&gt;"Yes","Academic; ","")&amp;IF($F28&lt;&gt;"Yes","Classroom; ","")&amp;IF($G28&lt;&gt;"Yes","PT sessions; ","")&amp;IF($H28&lt;&gt;"Yes","Skills; ","")&amp;IF($I28&lt;&gt;"Yes","Incidents; ","")&amp;IF($J28&lt;&gt;"Yes","Writing; ","")&amp;IF($K28&lt;&gt;"Yes","Makeup owed; ","")&amp;IF($L28&lt;&gt;"Yes","Final PT;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IF($B29="","",IF(AND($E29="Yes",$F29="Yes",$G29="Yes",$H29="Yes",$I29="Yes",$J29="Yes",$K29="Yes",$L29="Yes",$M29="No"),"Yes","No"))</f>
        <v/>
      </c>
      <c r="O29" s="17">
        <f>IF($B29="","",IF($N29="Yes","Eligible",TRIM(IF($E29&lt;&gt;"Yes","Academic; ","")&amp;IF($F29&lt;&gt;"Yes","Classroom; ","")&amp;IF($G29&lt;&gt;"Yes","PT sessions; ","")&amp;IF($H29&lt;&gt;"Yes","Skills; ","")&amp;IF($I29&lt;&gt;"Yes","Incidents; ","")&amp;IF($J29&lt;&gt;"Yes","Writing; ","")&amp;IF($K29&lt;&gt;"Yes","Makeup owed; ","")&amp;IF($L29&lt;&gt;"Yes","Final PT;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IF($B30="","",IF(AND($E30="Yes",$F30="Yes",$G30="Yes",$H30="Yes",$I30="Yes",$J30="Yes",$K30="Yes",$L30="Yes",$M30="No"),"Yes","No"))</f>
        <v/>
      </c>
      <c r="O30" s="17">
        <f>IF($B30="","",IF($N30="Yes","Eligible",TRIM(IF($E30&lt;&gt;"Yes","Academic; ","")&amp;IF($F30&lt;&gt;"Yes","Classroom; ","")&amp;IF($G30&lt;&gt;"Yes","PT sessions; ","")&amp;IF($H30&lt;&gt;"Yes","Skills; ","")&amp;IF($I30&lt;&gt;"Yes","Incidents; ","")&amp;IF($J30&lt;&gt;"Yes","Writing; ","")&amp;IF($K30&lt;&gt;"Yes","Makeup owed; ","")&amp;IF($L30&lt;&gt;"Yes","Final PT;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IF($B31="","",IF(AND($E31="Yes",$F31="Yes",$G31="Yes",$H31="Yes",$I31="Yes",$J31="Yes",$K31="Yes",$L31="Yes",$M31="No"),"Yes","No"))</f>
        <v/>
      </c>
      <c r="O31" s="17">
        <f>IF($B31="","",IF($N31="Yes","Eligible",TRIM(IF($E31&lt;&gt;"Yes","Academic; ","")&amp;IF($F31&lt;&gt;"Yes","Classroom; ","")&amp;IF($G31&lt;&gt;"Yes","PT sessions; ","")&amp;IF($H31&lt;&gt;"Yes","Skills; ","")&amp;IF($I31&lt;&gt;"Yes","Incidents; ","")&amp;IF($J31&lt;&gt;"Yes","Writing; ","")&amp;IF($K31&lt;&gt;"Yes","Makeup owed; ","")&amp;IF($L31&lt;&gt;"Yes","Final PT;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IF($B32="","",IF(AND($E32="Yes",$F32="Yes",$G32="Yes",$H32="Yes",$I32="Yes",$J32="Yes",$K32="Yes",$L32="Yes",$M32="No"),"Yes","No"))</f>
        <v/>
      </c>
      <c r="O32" s="17">
        <f>IF($B32="","",IF($N32="Yes","Eligible",TRIM(IF($E32&lt;&gt;"Yes","Academic; ","")&amp;IF($F32&lt;&gt;"Yes","Classroom; ","")&amp;IF($G32&lt;&gt;"Yes","PT sessions; ","")&amp;IF($H32&lt;&gt;"Yes","Skills; ","")&amp;IF($I32&lt;&gt;"Yes","Incidents; ","")&amp;IF($J32&lt;&gt;"Yes","Writing; ","")&amp;IF($K32&lt;&gt;"Yes","Makeup owed; ","")&amp;IF($L32&lt;&gt;"Yes","Final PT;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IF($B33="","",IF(AND($E33="Yes",$F33="Yes",$G33="Yes",$H33="Yes",$I33="Yes",$J33="Yes",$K33="Yes",$L33="Yes",$M33="No"),"Yes","No"))</f>
        <v/>
      </c>
      <c r="O33" s="17">
        <f>IF($B33="","",IF($N33="Yes","Eligible",TRIM(IF($E33&lt;&gt;"Yes","Academic; ","")&amp;IF($F33&lt;&gt;"Yes","Classroom; ","")&amp;IF($G33&lt;&gt;"Yes","PT sessions; ","")&amp;IF($H33&lt;&gt;"Yes","Skills; ","")&amp;IF($I33&lt;&gt;"Yes","Incidents; ","")&amp;IF($J33&lt;&gt;"Yes","Writing; ","")&amp;IF($K33&lt;&gt;"Yes","Makeup owed; ","")&amp;IF($L33&lt;&gt;"Yes","Final PT;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IF($B34="","",IF(AND($E34="Yes",$F34="Yes",$G34="Yes",$H34="Yes",$I34="Yes",$J34="Yes",$K34="Yes",$L34="Yes",$M34="No"),"Yes","No"))</f>
        <v/>
      </c>
      <c r="O34" s="17">
        <f>IF($B34="","",IF($N34="Yes","Eligible",TRIM(IF($E34&lt;&gt;"Yes","Academic; ","")&amp;IF($F34&lt;&gt;"Yes","Classroom; ","")&amp;IF($G34&lt;&gt;"Yes","PT sessions; ","")&amp;IF($H34&lt;&gt;"Yes","Skills; ","")&amp;IF($I34&lt;&gt;"Yes","Incidents; ","")&amp;IF($J34&lt;&gt;"Yes","Writing; ","")&amp;IF($K34&lt;&gt;"Yes","Makeup owed; ","")&amp;IF($L34&lt;&gt;"Yes","Final PT;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IF($B35="","",IF(AND($E35="Yes",$F35="Yes",$G35="Yes",$H35="Yes",$I35="Yes",$J35="Yes",$K35="Yes",$L35="Yes",$M35="No"),"Yes","No"))</f>
        <v/>
      </c>
      <c r="O35" s="17">
        <f>IF($B35="","",IF($N35="Yes","Eligible",TRIM(IF($E35&lt;&gt;"Yes","Academic; ","")&amp;IF($F35&lt;&gt;"Yes","Classroom; ","")&amp;IF($G35&lt;&gt;"Yes","PT sessions; ","")&amp;IF($H35&lt;&gt;"Yes","Skills; ","")&amp;IF($I35&lt;&gt;"Yes","Incidents; ","")&amp;IF($J35&lt;&gt;"Yes","Writing; ","")&amp;IF($K35&lt;&gt;"Yes","Makeup owed; ","")&amp;IF($L35&lt;&gt;"Yes","Final PT;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IF($B36="","",IF(AND($E36="Yes",$F36="Yes",$G36="Yes",$H36="Yes",$I36="Yes",$J36="Yes",$K36="Yes",$L36="Yes",$M36="No"),"Yes","No"))</f>
        <v/>
      </c>
      <c r="O36" s="17">
        <f>IF($B36="","",IF($N36="Yes","Eligible",TRIM(IF($E36&lt;&gt;"Yes","Academic; ","")&amp;IF($F36&lt;&gt;"Yes","Classroom; ","")&amp;IF($G36&lt;&gt;"Yes","PT sessions; ","")&amp;IF($H36&lt;&gt;"Yes","Skills; ","")&amp;IF($I36&lt;&gt;"Yes","Incidents; ","")&amp;IF($J36&lt;&gt;"Yes","Writing; ","")&amp;IF($K36&lt;&gt;"Yes","Makeup owed; ","")&amp;IF($L36&lt;&gt;"Yes","Final PT;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IF($B37="","",IF(AND($E37="Yes",$F37="Yes",$G37="Yes",$H37="Yes",$I37="Yes",$J37="Yes",$K37="Yes",$L37="Yes",$M37="No"),"Yes","No"))</f>
        <v/>
      </c>
      <c r="O37" s="17">
        <f>IF($B37="","",IF($N37="Yes","Eligible",TRIM(IF($E37&lt;&gt;"Yes","Academic; ","")&amp;IF($F37&lt;&gt;"Yes","Classroom; ","")&amp;IF($G37&lt;&gt;"Yes","PT sessions; ","")&amp;IF($H37&lt;&gt;"Yes","Skills; ","")&amp;IF($I37&lt;&gt;"Yes","Incidents; ","")&amp;IF($J37&lt;&gt;"Yes","Writing; ","")&amp;IF($K37&lt;&gt;"Yes","Makeup owed; ","")&amp;IF($L37&lt;&gt;"Yes","Final PT;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IF($B38="","",IF(AND($E38="Yes",$F38="Yes",$G38="Yes",$H38="Yes",$I38="Yes",$J38="Yes",$K38="Yes",$L38="Yes",$M38="No"),"Yes","No"))</f>
        <v/>
      </c>
      <c r="O38" s="17">
        <f>IF($B38="","",IF($N38="Yes","Eligible",TRIM(IF($E38&lt;&gt;"Yes","Academic; ","")&amp;IF($F38&lt;&gt;"Yes","Classroom; ","")&amp;IF($G38&lt;&gt;"Yes","PT sessions; ","")&amp;IF($H38&lt;&gt;"Yes","Skills; ","")&amp;IF($I38&lt;&gt;"Yes","Incidents; ","")&amp;IF($J38&lt;&gt;"Yes","Writing; ","")&amp;IF($K38&lt;&gt;"Yes","Makeup owed; ","")&amp;IF($L38&lt;&gt;"Yes","Final PT;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IF($B39="","",IF(AND($E39="Yes",$F39="Yes",$G39="Yes",$H39="Yes",$I39="Yes",$J39="Yes",$K39="Yes",$L39="Yes",$M39="No"),"Yes","No"))</f>
        <v/>
      </c>
      <c r="O39" s="17">
        <f>IF($B39="","",IF($N39="Yes","Eligible",TRIM(IF($E39&lt;&gt;"Yes","Academic; ","")&amp;IF($F39&lt;&gt;"Yes","Classroom; ","")&amp;IF($G39&lt;&gt;"Yes","PT sessions; ","")&amp;IF($H39&lt;&gt;"Yes","Skills; ","")&amp;IF($I39&lt;&gt;"Yes","Incidents; ","")&amp;IF($J39&lt;&gt;"Yes","Writing; ","")&amp;IF($K39&lt;&gt;"Yes","Makeup owed; ","")&amp;IF($L39&lt;&gt;"Yes","Final PT;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IF($B40="","",IF(AND($E40="Yes",$F40="Yes",$G40="Yes",$H40="Yes",$I40="Yes",$J40="Yes",$K40="Yes",$L40="Yes",$M40="No"),"Yes","No"))</f>
        <v/>
      </c>
      <c r="O40" s="17">
        <f>IF($B40="","",IF($N40="Yes","Eligible",TRIM(IF($E40&lt;&gt;"Yes","Academic; ","")&amp;IF($F40&lt;&gt;"Yes","Classroom; ","")&amp;IF($G40&lt;&gt;"Yes","PT sessions; ","")&amp;IF($H40&lt;&gt;"Yes","Skills; ","")&amp;IF($I40&lt;&gt;"Yes","Incidents; ","")&amp;IF($J40&lt;&gt;"Yes","Writing; ","")&amp;IF($K40&lt;&gt;"Yes","Makeup owed; ","")&amp;IF($L40&lt;&gt;"Yes","Final PT;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IF($B41="","",IF(AND($E41="Yes",$F41="Yes",$G41="Yes",$H41="Yes",$I41="Yes",$J41="Yes",$K41="Yes",$L41="Yes",$M41="No"),"Yes","No"))</f>
        <v/>
      </c>
      <c r="O41" s="17">
        <f>IF($B41="","",IF($N41="Yes","Eligible",TRIM(IF($E41&lt;&gt;"Yes","Academic; ","")&amp;IF($F41&lt;&gt;"Yes","Classroom; ","")&amp;IF($G41&lt;&gt;"Yes","PT sessions; ","")&amp;IF($H41&lt;&gt;"Yes","Skills; ","")&amp;IF($I41&lt;&gt;"Yes","Incidents; ","")&amp;IF($J41&lt;&gt;"Yes","Writing; ","")&amp;IF($K41&lt;&gt;"Yes","Makeup owed; ","")&amp;IF($L41&lt;&gt;"Yes","Final PT;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IF($B42="","",IF(AND($E42="Yes",$F42="Yes",$G42="Yes",$H42="Yes",$I42="Yes",$J42="Yes",$K42="Yes",$L42="Yes",$M42="No"),"Yes","No"))</f>
        <v/>
      </c>
      <c r="O42" s="17">
        <f>IF($B42="","",IF($N42="Yes","Eligible",TRIM(IF($E42&lt;&gt;"Yes","Academic; ","")&amp;IF($F42&lt;&gt;"Yes","Classroom; ","")&amp;IF($G42&lt;&gt;"Yes","PT sessions; ","")&amp;IF($H42&lt;&gt;"Yes","Skills; ","")&amp;IF($I42&lt;&gt;"Yes","Incidents; ","")&amp;IF($J42&lt;&gt;"Yes","Writing; ","")&amp;IF($K42&lt;&gt;"Yes","Makeup owed; ","")&amp;IF($L42&lt;&gt;"Yes","Final PT;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IF($B43="","",IF(AND($E43="Yes",$F43="Yes",$G43="Yes",$H43="Yes",$I43="Yes",$J43="Yes",$K43="Yes",$L43="Yes",$M43="No"),"Yes","No"))</f>
        <v/>
      </c>
      <c r="O43" s="17">
        <f>IF($B43="","",IF($N43="Yes","Eligible",TRIM(IF($E43&lt;&gt;"Yes","Academic; ","")&amp;IF($F43&lt;&gt;"Yes","Classroom; ","")&amp;IF($G43&lt;&gt;"Yes","PT sessions; ","")&amp;IF($H43&lt;&gt;"Yes","Skills; ","")&amp;IF($I43&lt;&gt;"Yes","Incidents; ","")&amp;IF($J43&lt;&gt;"Yes","Writing; ","")&amp;IF($K43&lt;&gt;"Yes","Makeup owed; ","")&amp;IF($L43&lt;&gt;"Yes","Final PT;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IF($B44="","",IF(AND($E44="Yes",$F44="Yes",$G44="Yes",$H44="Yes",$I44="Yes",$J44="Yes",$K44="Yes",$L44="Yes",$M44="No"),"Yes","No"))</f>
        <v/>
      </c>
      <c r="O44" s="17">
        <f>IF($B44="","",IF($N44="Yes","Eligible",TRIM(IF($E44&lt;&gt;"Yes","Academic; ","")&amp;IF($F44&lt;&gt;"Yes","Classroom; ","")&amp;IF($G44&lt;&gt;"Yes","PT sessions; ","")&amp;IF($H44&lt;&gt;"Yes","Skills; ","")&amp;IF($I44&lt;&gt;"Yes","Incidents; ","")&amp;IF($J44&lt;&gt;"Yes","Writing; ","")&amp;IF($K44&lt;&gt;"Yes","Makeup owed; ","")&amp;IF($L44&lt;&gt;"Yes","Final PT;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IF($B45="","",IF(AND($E45="Yes",$F45="Yes",$G45="Yes",$H45="Yes",$I45="Yes",$J45="Yes",$K45="Yes",$L45="Yes",$M45="No"),"Yes","No"))</f>
        <v/>
      </c>
      <c r="O45" s="17">
        <f>IF($B45="","",IF($N45="Yes","Eligible",TRIM(IF($E45&lt;&gt;"Yes","Academic; ","")&amp;IF($F45&lt;&gt;"Yes","Classroom; ","")&amp;IF($G45&lt;&gt;"Yes","PT sessions; ","")&amp;IF($H45&lt;&gt;"Yes","Skills; ","")&amp;IF($I45&lt;&gt;"Yes","Incidents; ","")&amp;IF($J45&lt;&gt;"Yes","Writing; ","")&amp;IF($K45&lt;&gt;"Yes","Makeup owed; ","")&amp;IF($L45&lt;&gt;"Yes","Final PT;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IF($B46="","",IF(AND($E46="Yes",$F46="Yes",$G46="Yes",$H46="Yes",$I46="Yes",$J46="Yes",$K46="Yes",$L46="Yes",$M46="No"),"Yes","No"))</f>
        <v/>
      </c>
      <c r="O46" s="17">
        <f>IF($B46="","",IF($N46="Yes","Eligible",TRIM(IF($E46&lt;&gt;"Yes","Academic; ","")&amp;IF($F46&lt;&gt;"Yes","Classroom; ","")&amp;IF($G46&lt;&gt;"Yes","PT sessions; ","")&amp;IF($H46&lt;&gt;"Yes","Skills; ","")&amp;IF($I46&lt;&gt;"Yes","Incidents; ","")&amp;IF($J46&lt;&gt;"Yes","Writing; ","")&amp;IF($K46&lt;&gt;"Yes","Makeup owed; ","")&amp;IF($L46&lt;&gt;"Yes","Final PT;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IF($B47="","",IF(AND($E47="Yes",$F47="Yes",$G47="Yes",$H47="Yes",$I47="Yes",$J47="Yes",$K47="Yes",$L47="Yes",$M47="No"),"Yes","No"))</f>
        <v/>
      </c>
      <c r="O47" s="17">
        <f>IF($B47="","",IF($N47="Yes","Eligible",TRIM(IF($E47&lt;&gt;"Yes","Academic; ","")&amp;IF($F47&lt;&gt;"Yes","Classroom; ","")&amp;IF($G47&lt;&gt;"Yes","PT sessions; ","")&amp;IF($H47&lt;&gt;"Yes","Skills; ","")&amp;IF($I47&lt;&gt;"Yes","Incidents; ","")&amp;IF($J47&lt;&gt;"Yes","Writing; ","")&amp;IF($K47&lt;&gt;"Yes","Makeup owed; ","")&amp;IF($L47&lt;&gt;"Yes","Final PT;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IF($B48="","",IF(AND($E48="Yes",$F48="Yes",$G48="Yes",$H48="Yes",$I48="Yes",$J48="Yes",$K48="Yes",$L48="Yes",$M48="No"),"Yes","No"))</f>
        <v/>
      </c>
      <c r="O48" s="17">
        <f>IF($B48="","",IF($N48="Yes","Eligible",TRIM(IF($E48&lt;&gt;"Yes","Academic; ","")&amp;IF($F48&lt;&gt;"Yes","Classroom; ","")&amp;IF($G48&lt;&gt;"Yes","PT sessions; ","")&amp;IF($H48&lt;&gt;"Yes","Skills; ","")&amp;IF($I48&lt;&gt;"Yes","Incidents; ","")&amp;IF($J48&lt;&gt;"Yes","Writing; ","")&amp;IF($K48&lt;&gt;"Yes","Makeup owed; ","")&amp;IF($L48&lt;&gt;"Yes","Final PT;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IF($B49="","",IF(AND($E49="Yes",$F49="Yes",$G49="Yes",$H49="Yes",$I49="Yes",$J49="Yes",$K49="Yes",$L49="Yes",$M49="No"),"Yes","No"))</f>
        <v/>
      </c>
      <c r="O49" s="17">
        <f>IF($B49="","",IF($N49="Yes","Eligible",TRIM(IF($E49&lt;&gt;"Yes","Academic; ","")&amp;IF($F49&lt;&gt;"Yes","Classroom; ","")&amp;IF($G49&lt;&gt;"Yes","PT sessions; ","")&amp;IF($H49&lt;&gt;"Yes","Skills; ","")&amp;IF($I49&lt;&gt;"Yes","Incidents; ","")&amp;IF($J49&lt;&gt;"Yes","Writing; ","")&amp;IF($K49&lt;&gt;"Yes","Makeup owed; ","")&amp;IF($L49&lt;&gt;"Yes","Final PT;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IF($B50="","",IF(AND($E50="Yes",$F50="Yes",$G50="Yes",$H50="Yes",$I50="Yes",$J50="Yes",$K50="Yes",$L50="Yes",$M50="No"),"Yes","No"))</f>
        <v/>
      </c>
      <c r="O50" s="17">
        <f>IF($B50="","",IF($N50="Yes","Eligible",TRIM(IF($E50&lt;&gt;"Yes","Academic; ","")&amp;IF($F50&lt;&gt;"Yes","Classroom; ","")&amp;IF($G50&lt;&gt;"Yes","PT sessions; ","")&amp;IF($H50&lt;&gt;"Yes","Skills; ","")&amp;IF($I50&lt;&gt;"Yes","Incidents; ","")&amp;IF($J50&lt;&gt;"Yes","Writing; ","")&amp;IF($K50&lt;&gt;"Yes","Makeup owed; ","")&amp;IF($L50&lt;&gt;"Yes","Final PT;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IF($B51="","",IF(AND($E51="Yes",$F51="Yes",$G51="Yes",$H51="Yes",$I51="Yes",$J51="Yes",$K51="Yes",$L51="Yes",$M51="No"),"Yes","No"))</f>
        <v/>
      </c>
      <c r="O51" s="17">
        <f>IF($B51="","",IF($N51="Yes","Eligible",TRIM(IF($E51&lt;&gt;"Yes","Academic; ","")&amp;IF($F51&lt;&gt;"Yes","Classroom; ","")&amp;IF($G51&lt;&gt;"Yes","PT sessions; ","")&amp;IF($H51&lt;&gt;"Yes","Skills; ","")&amp;IF($I51&lt;&gt;"Yes","Incidents; ","")&amp;IF($J51&lt;&gt;"Yes","Writing; ","")&amp;IF($K51&lt;&gt;"Yes","Makeup owed; ","")&amp;IF($L51&lt;&gt;"Yes","Final PT;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IF($B52="","",IF(AND($E52="Yes",$F52="Yes",$G52="Yes",$H52="Yes",$I52="Yes",$J52="Yes",$K52="Yes",$L52="Yes",$M52="No"),"Yes","No"))</f>
        <v/>
      </c>
      <c r="O52" s="17">
        <f>IF($B52="","",IF($N52="Yes","Eligible",TRIM(IF($E52&lt;&gt;"Yes","Academic; ","")&amp;IF($F52&lt;&gt;"Yes","Classroom; ","")&amp;IF($G52&lt;&gt;"Yes","PT sessions; ","")&amp;IF($H52&lt;&gt;"Yes","Skills; ","")&amp;IF($I52&lt;&gt;"Yes","Incidents; ","")&amp;IF($J52&lt;&gt;"Yes","Writing; ","")&amp;IF($K52&lt;&gt;"Yes","Makeup owed; ","")&amp;IF($L52&lt;&gt;"Yes","Final PT;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IF($B53="","",IF(AND($E53="Yes",$F53="Yes",$G53="Yes",$H53="Yes",$I53="Yes",$J53="Yes",$K53="Yes",$L53="Yes",$M53="No"),"Yes","No"))</f>
        <v/>
      </c>
      <c r="O53" s="17">
        <f>IF($B53="","",IF($N53="Yes","Eligible",TRIM(IF($E53&lt;&gt;"Yes","Academic; ","")&amp;IF($F53&lt;&gt;"Yes","Classroom; ","")&amp;IF($G53&lt;&gt;"Yes","PT sessions; ","")&amp;IF($H53&lt;&gt;"Yes","Skills; ","")&amp;IF($I53&lt;&gt;"Yes","Incidents; ","")&amp;IF($J53&lt;&gt;"Yes","Writing; ","")&amp;IF($K53&lt;&gt;"Yes","Makeup owed; ","")&amp;IF($L53&lt;&gt;"Yes","Final PT;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IF($B54="","",IF(AND($E54="Yes",$F54="Yes",$G54="Yes",$H54="Yes",$I54="Yes",$J54="Yes",$K54="Yes",$L54="Yes",$M54="No"),"Yes","No"))</f>
        <v/>
      </c>
      <c r="O54" s="17">
        <f>IF($B54="","",IF($N54="Yes","Eligible",TRIM(IF($E54&lt;&gt;"Yes","Academic; ","")&amp;IF($F54&lt;&gt;"Yes","Classroom; ","")&amp;IF($G54&lt;&gt;"Yes","PT sessions; ","")&amp;IF($H54&lt;&gt;"Yes","Skills; ","")&amp;IF($I54&lt;&gt;"Yes","Incidents; ","")&amp;IF($J54&lt;&gt;"Yes","Writing; ","")&amp;IF($K54&lt;&gt;"Yes","Makeup owed; ","")&amp;IF($L54&lt;&gt;"Yes","Final PT;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IF($B55="","",IF(AND($E55="Yes",$F55="Yes",$G55="Yes",$H55="Yes",$I55="Yes",$J55="Yes",$K55="Yes",$L55="Yes",$M55="No"),"Yes","No"))</f>
        <v/>
      </c>
      <c r="O55" s="17">
        <f>IF($B55="","",IF($N55="Yes","Eligible",TRIM(IF($E55&lt;&gt;"Yes","Academic; ","")&amp;IF($F55&lt;&gt;"Yes","Classroom; ","")&amp;IF($G55&lt;&gt;"Yes","PT sessions; ","")&amp;IF($H55&lt;&gt;"Yes","Skills; ","")&amp;IF($I55&lt;&gt;"Yes","Incidents; ","")&amp;IF($J55&lt;&gt;"Yes","Writing; ","")&amp;IF($K55&lt;&gt;"Yes","Makeup owed; ","")&amp;IF($L55&lt;&gt;"Yes","Final PT;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0">
        <f>IF($E6&lt;&gt;"",$E6,$C6)</f>
        <v/>
      </c>
      <c r="G6" s="16" t="n"/>
    </row>
    <row r="7" ht="30" customHeight="1">
      <c r="B7" s="3" t="inlineStr">
        <is>
          <t>Physical Fitness</t>
        </is>
      </c>
      <c r="C7" s="17">
        <f>IFERROR(INDEX(rngCadetNames,MATCH(MAX(nrPT_FinalPts),nrPT_FinalPts,0)),"")</f>
        <v/>
      </c>
      <c r="D7" s="15">
        <f>"Top final PT points: "&amp;IFERROR(MAX(nrPT_FinalPts),"n/a")</f>
        <v/>
      </c>
      <c r="E7" s="16" t="n"/>
      <c r="F7" s="30">
        <f>IF($E7&lt;&gt;"",$E7,$C7)</f>
        <v/>
      </c>
      <c r="G7" s="16" t="n"/>
    </row>
    <row r="8" ht="30" customHeight="1">
      <c r="B8" s="3" t="inlineStr">
        <is>
          <t>Top Gun</t>
        </is>
      </c>
      <c r="C8" s="17">
        <f>IFERROR(INDEX(rngCadetNames,MATCH(MAX(nrSKfirearmsAvg),nrSKfirearmsAvg,0)),"")</f>
        <v/>
      </c>
      <c r="D8" s="15">
        <f>"Top firearms average: "&amp;IFERROR(ROUND(MAX(nrSKfirearmsAvg),2),"n/a")</f>
        <v/>
      </c>
      <c r="E8" s="16" t="n"/>
      <c r="F8" s="30">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0">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H19"/>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9">
        <f>nrCHtotalDelivered</f>
        <v/>
      </c>
      <c r="D6" s="20">
        <f>cfgRequiredHours</f>
        <v/>
      </c>
      <c r="E6" s="30">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29">
        <f>SUMPRODUCT((nrCHdeliv&lt;&gt;"")*(nrCHdeliv&gt;0)*(nrCHdeliv&lt;nrCHmin))</f>
        <v/>
      </c>
      <c r="D7" s="20" t="n">
        <v>0</v>
      </c>
      <c r="E7" s="30">
        <f>IF(SUMPRODUCT((nrCHdeliv&lt;&gt;"")*(nrCHdeliv&gt;0)*(nrCHdeliv&lt;nrCHmin))=0,"OK","CHECK")</f>
        <v/>
      </c>
      <c r="F7" s="15">
        <f>"Rule 218.1(C)(4): failure to meet minimum course length = denial of training"</f>
        <v/>
      </c>
    </row>
    <row r="8">
      <c r="B8" s="3" t="inlineStr">
        <is>
          <t>Chapter training files incomplete</t>
        </is>
      </c>
      <c r="C8" s="29">
        <f>SUMPRODUCT((nrCHname&lt;&gt;"")*(nrCHfileOK="No"))</f>
        <v/>
      </c>
      <c r="D8" s="20" t="n">
        <v>0</v>
      </c>
      <c r="E8" s="30">
        <f>IF(SUMPRODUCT((nrCHname&lt;&gt;"")*(nrCHfileOK="No"))=0,"OK","CHECK")</f>
        <v/>
      </c>
      <c r="F8" s="15">
        <f>"SME lesson plan, instructor bio, sign-ins w/ PID, assessment, grade sheet, eval"</f>
        <v/>
      </c>
    </row>
    <row r="9">
      <c r="B9" s="3" t="inlineStr">
        <is>
          <t>Special TCOLE chapter requirements unmet</t>
        </is>
      </c>
      <c r="C9" s="29">
        <f>SUMPRODUCT((nrCHspecial&lt;&gt;"")*(nrCHspecialMet&lt;&gt;"Yes")*(nrCHspecialMet&lt;&gt;"N/A"))</f>
        <v/>
      </c>
      <c r="D9" s="20" t="n">
        <v>0</v>
      </c>
      <c r="E9" s="30">
        <f>IF(SUMPRODUCT((nrCHspecial&lt;&gt;"")*(nrCHspecialMet&lt;&gt;"Yes")*(nrCHspecialMet&lt;&gt;"N/A"))=0,"OK","CHECK")</f>
        <v/>
      </c>
      <c r="F9" s="15">
        <f>"TIM, SFST, ALERRT, CPR/AED, TCIC #4800, Crime Stoppers, Seven Step, canine scenarios, CIT lead, SIT 3232"</f>
        <v/>
      </c>
    </row>
    <row r="10">
      <c r="B10" s="3" t="inlineStr">
        <is>
          <t>Chapters without evals collected</t>
        </is>
      </c>
      <c r="C10" s="29">
        <f>SUMPRODUCT((nrCHname&lt;&gt;"")*(nrCHevals&lt;&gt;"On File")*(nrCHevals&lt;&gt;"N/A"))</f>
        <v/>
      </c>
      <c r="D10" s="20" t="n">
        <v>0</v>
      </c>
      <c r="E10" s="30">
        <f>IF(SUMPRODUCT((nrCHname&lt;&gt;"")*(nrCHevals&lt;&gt;"On File")*(nrCHevals&lt;&gt;"N/A"))=0,"OK","CHECK")</f>
        <v/>
      </c>
      <c r="F10" s="15">
        <f>"Course critiques per chapter (print from Print Center)"</f>
        <v/>
      </c>
    </row>
    <row r="11">
      <c r="B11" s="3" t="inlineStr">
        <is>
          <t>Program requirements unchecked (Audit sheet)</t>
        </is>
      </c>
      <c r="C11" s="29">
        <f>SUMPRODUCT((nrPRGitems&lt;&gt;"")*(nrPRGmet&lt;&gt;"Yes"))</f>
        <v/>
      </c>
      <c r="D11" s="20" t="n">
        <v>0</v>
      </c>
      <c r="E11" s="30">
        <f>IF(SUMPRODUCT((nrPRGitems&lt;&gt;"")*(nrPRGmet&lt;&gt;"Yes"))=0,"OK","CHECK")</f>
        <v/>
      </c>
      <c r="F11" s="15">
        <f>"Rule 215.9 distribution, TCLEDDS roster, 736 exact reporting, facility, assessments"</f>
        <v/>
      </c>
    </row>
    <row r="12">
      <c r="B12" s="3" t="inlineStr">
        <is>
          <t>Teaching instructors lacking documentation</t>
        </is>
      </c>
      <c r="C12" s="29">
        <f>SUMPRODUCT((nrInstrOnSched="Yes")*(nrInstrReady="No"))</f>
        <v/>
      </c>
      <c r="D12" s="20" t="n">
        <v>0</v>
      </c>
      <c r="E12" s="30">
        <f>IF(SUMPRODUCT((nrInstrOnSched="Yes")*(nrInstrReady="No"))=0,"OK","CHECK")</f>
        <v/>
      </c>
      <c r="F12" s="15">
        <f>"IRG: every instructor/co-teacher teaching an LO needs bio + TCOLE cert or SME letter"</f>
        <v/>
      </c>
    </row>
    <row r="13">
      <c r="B13" s="3" t="inlineStr">
        <is>
          <t>Schedule blocks with unrecognized instructor</t>
        </is>
      </c>
      <c r="C13" s="29">
        <f>COUNTIF(nrSCH_InstrOK,"UNRECOGNIZED")</f>
        <v/>
      </c>
      <c r="D13" s="20" t="n">
        <v>0</v>
      </c>
      <c r="E13" s="30">
        <f>IF(COUNTIF(nrSCH_InstrOK,"UNRECOGNIZED")=0,"OK","CHECK")</f>
        <v/>
      </c>
      <c r="F13" s="15">
        <f>"Instructor text matches nobody on the Instructors roster - fix spelling or add them"</f>
        <v/>
      </c>
    </row>
    <row r="14">
      <c r="B14" s="3" t="inlineStr">
        <is>
          <t>Overdue retests</t>
        </is>
      </c>
      <c r="C14" s="29">
        <f>COUNTIF(nrES_RetStat,"OVERDUE")</f>
        <v/>
      </c>
      <c r="D14" s="20" t="n">
        <v>0</v>
      </c>
      <c r="E14" s="30">
        <f>IF(COUNTIF(nrES_RetStat,"OVERDUE")=0,"OK","ACT NOW")</f>
        <v/>
      </c>
      <c r="F14" s="15">
        <f>"Policy 300.5: retest within 5 class days"</f>
        <v/>
      </c>
    </row>
    <row r="15">
      <c r="B15" s="3" t="inlineStr">
        <is>
          <t>Cadets with makeup owed</t>
        </is>
      </c>
      <c r="C15" s="29">
        <f>SUMPRODUCT((nrATTmakeupOK="No")*1)</f>
        <v/>
      </c>
      <c r="D15" s="20" t="n">
        <v>0</v>
      </c>
      <c r="E15" s="30">
        <f>IF(SUMPRODUCT((nrATTmakeupOK="No")*1)=0,"OK","CHECK")</f>
        <v/>
      </c>
      <c r="F15" s="15">
        <f>"Missed minutes not yet made up"</f>
        <v/>
      </c>
    </row>
    <row r="16">
      <c r="B16" s="3" t="inlineStr">
        <is>
          <t>Active cadets failing a category</t>
        </is>
      </c>
      <c r="C16" s="29">
        <f>SUMPRODUCT((nrCadetStatus="Active")*(nrGRacademic="No"))</f>
        <v/>
      </c>
      <c r="D16" s="20" t="n">
        <v>0</v>
      </c>
      <c r="E16" s="30">
        <f>IF(SUMPRODUCT((nrCadetStatus="Active")*(nrGRacademic="No"))=0,"OK","CHECK")</f>
        <v/>
      </c>
      <c r="F16" s="15">
        <f>"70 in each category (policy 300.2)"</f>
        <v/>
      </c>
    </row>
    <row r="17">
      <c r="B17" s="3" t="inlineStr">
        <is>
          <t>Spelling interventions open</t>
        </is>
      </c>
      <c r="C17" s="29">
        <f>COUNTIF(nrSpellFlag,"INTERVENTION")</f>
        <v/>
      </c>
      <c r="D17" s="20" t="n">
        <v>0</v>
      </c>
      <c r="E17" s="30">
        <f>IF(COUNTIF(nrSpellFlag,"INTERVENTION")=0,"OK","CHECK")</f>
        <v/>
      </c>
      <c r="F17" s="15">
        <f>"Document intervention on Counseling log (300.4.B)"</f>
        <v/>
      </c>
    </row>
    <row r="18">
      <c r="B18" s="3" t="inlineStr">
        <is>
          <t>Cadets missing certification copies</t>
        </is>
      </c>
      <c r="C18" s="29">
        <f>SUMPRODUCT((nrCadetStatus="Active")*(nrCERTmissing&lt;&gt;""))</f>
        <v/>
      </c>
      <c r="D18" s="20" t="n">
        <v>0</v>
      </c>
      <c r="E18" s="30">
        <f>IF(SUMPRODUCT((nrCadetStatus="Active")*(nrCERTmissing&lt;&gt;""))=0,"OK","CHECK")</f>
        <v/>
      </c>
      <c r="F18" s="15">
        <f>"TIM, SFST, TCIC, CPR/AED, ALERRT, ICS copies - see Certifications sheet"</f>
        <v/>
      </c>
    </row>
    <row r="19">
      <c r="B19" s="3" t="inlineStr">
        <is>
          <t>Firearms: both courses of fire not passed</t>
        </is>
      </c>
      <c r="C19" s="29">
        <f>SUMPRODUCT((nrCadetStatus="Active")*(nrSKbothCoF="No"))</f>
        <v/>
      </c>
      <c r="D19" s="20" t="n">
        <v>0</v>
      </c>
      <c r="E19" s="30">
        <f>IF(SUMPRODUCT((nrCadetStatus="Active")*(nrSKbothCoF="No"))=0,"OK","CHECK")</f>
        <v/>
      </c>
      <c r="F19" s="15">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9">
    <cfRule type="expression" priority="1" dxfId="1">
      <formula>$E6&lt;&gt;"OK"</formula>
    </cfRule>
    <cfRule type="expression" priority="2" dxfId="2">
      <formula>$E6="OK"</formula>
    </cfRule>
  </conditionalFormatting>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B89"/>
  <sheetViews>
    <sheetView showGridLines="0" workbookViewId="0">
      <selection activeCell="A1" sqref="A1"/>
    </sheetView>
  </sheetViews>
  <sheetFormatPr baseColWidth="8" defaultRowHeight="15"/>
  <sheetData>
    <row r="1"/>
    <row r="2"/>
    <row r="3"/>
    <row r="4"/>
    <row r="5">
      <c r="B5" s="3"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57.xml><?xml version="1.0" encoding="utf-8"?>
<worksheet xmlns="http://schemas.openxmlformats.org/spreadsheetml/2006/main">
  <sheetPr>
    <tabColor rgb="001E7145"/>
    <outlinePr summaryBelow="1" summaryRight="1"/>
    <pageSetUpPr/>
  </sheetPr>
  <dimension ref="A1:C260"/>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cfgAttendanceAdvisoryPct</t>
        </is>
      </c>
      <c r="C7" s="2" t="inlineStr">
        <is>
          <t>'Settings'!$C$22</t>
        </is>
      </c>
    </row>
    <row r="8">
      <c r="B8" s="14" t="inlineStr">
        <is>
          <t>cfgAttendanceCriticalPct</t>
        </is>
      </c>
      <c r="C8" s="2" t="inlineStr">
        <is>
          <t>'Settings'!$C$23</t>
        </is>
      </c>
    </row>
    <row r="9">
      <c r="B9" s="14" t="inlineStr">
        <is>
          <t>cfgClassroomCapMinutes</t>
        </is>
      </c>
      <c r="C9" s="2" t="inlineStr">
        <is>
          <t>'Settings'!$C$35</t>
        </is>
      </c>
    </row>
    <row r="10">
      <c r="B10" s="14" t="inlineStr">
        <is>
          <t>cfgClassroomCapPct</t>
        </is>
      </c>
      <c r="C10" s="2" t="inlineStr">
        <is>
          <t>'Settings'!$C$20</t>
        </is>
      </c>
    </row>
    <row r="11">
      <c r="B11" s="14" t="inlineStr">
        <is>
          <t>cfgCurrentExamNum</t>
        </is>
      </c>
      <c r="C11" s="2" t="inlineStr">
        <is>
          <t>'Settings'!$C$25</t>
        </is>
      </c>
    </row>
    <row r="12">
      <c r="B12" s="14" t="inlineStr">
        <is>
          <t>cfgCurrentSpellingNum</t>
        </is>
      </c>
      <c r="C12" s="2" t="inlineStr">
        <is>
          <t>'Settings'!$C$26</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'Settings'!$C$32</t>
        </is>
      </c>
    </row>
    <row r="16">
      <c r="B16" s="14" t="inlineStr">
        <is>
          <t>cfgFlagCategoryMargin</t>
        </is>
      </c>
      <c r="C16" s="2" t="inlineStr">
        <is>
          <t>'Settings'!$C$31</t>
        </is>
      </c>
    </row>
    <row r="17">
      <c r="B17" s="14" t="inlineStr">
        <is>
          <t>cfgFlagConsecFails</t>
        </is>
      </c>
      <c r="C17" s="2" t="inlineStr">
        <is>
          <t>'Settings'!$C$29</t>
        </is>
      </c>
    </row>
    <row r="18">
      <c r="B18" s="14" t="inlineStr">
        <is>
          <t>cfgFlagGradeDrop</t>
        </is>
      </c>
      <c r="C18" s="2" t="inlineStr">
        <is>
          <t>'Settings'!$C$30</t>
        </is>
      </c>
    </row>
    <row r="19">
      <c r="B19" s="14" t="inlineStr">
        <is>
          <t>cfgFlagOpenIncidents</t>
        </is>
      </c>
      <c r="C19" s="2" t="inlineStr">
        <is>
          <t>'Settings'!$C$33</t>
        </is>
      </c>
    </row>
    <row r="20">
      <c r="B20" s="14" t="inlineStr">
        <is>
          <t>cfgFlagOverdueWriting</t>
        </is>
      </c>
      <c r="C20" s="2" t="inlineStr">
        <is>
          <t>'Settings'!$C$34</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'Settings'!$C$24</t>
        </is>
      </c>
    </row>
    <row r="24">
      <c r="B24" s="14" t="inlineStr">
        <is>
          <t>cfgPTCapSessions</t>
        </is>
      </c>
      <c r="C24" s="2" t="inlineStr">
        <is>
          <t>'Settings'!$C$21</t>
        </is>
      </c>
    </row>
    <row r="25">
      <c r="B25" s="14" t="inlineStr">
        <is>
          <t>cfgPTFinalMinPoints</t>
        </is>
      </c>
      <c r="C25" s="2" t="inlineStr">
        <is>
          <t>'Settings'!$C$28</t>
        </is>
      </c>
    </row>
    <row r="26">
      <c r="B26" s="14" t="inlineStr">
        <is>
          <t>cfgPacketChapter</t>
        </is>
      </c>
      <c r="C26" s="2" t="inlineStr">
        <is>
          <t>'ChapterPacket'!$C$5</t>
        </is>
      </c>
    </row>
    <row r="27">
      <c r="B27" s="14" t="inlineStr">
        <is>
          <t>cfgPassingScore</t>
        </is>
      </c>
      <c r="C27" s="2" t="inlineStr">
        <is>
          <t>'Settings'!$C$10</t>
        </is>
      </c>
    </row>
    <row r="28">
      <c r="B28" s="14" t="inlineStr">
        <is>
          <t>cfgPreviewAgency</t>
        </is>
      </c>
      <c r="C28" s="2" t="inlineStr">
        <is>
          <t>'EmailPreview'!$C$5</t>
        </is>
      </c>
    </row>
    <row r="29">
      <c r="B29" s="14" t="inlineStr">
        <is>
          <t>cfgProfileCadet</t>
        </is>
      </c>
      <c r="C29" s="2" t="inlineStr">
        <is>
          <t>'CadetProfile'!$C$5</t>
        </is>
      </c>
    </row>
    <row r="30">
      <c r="B30" s="14" t="inlineStr">
        <is>
          <t>cfgRequiredHours</t>
        </is>
      </c>
      <c r="C30" s="2" t="inlineStr">
        <is>
          <t>'sysAudit'!$H$6</t>
        </is>
      </c>
    </row>
    <row r="31">
      <c r="B31" s="14" t="inlineStr">
        <is>
          <t>cfgRetakeRecordedCap</t>
        </is>
      </c>
      <c r="C31" s="2" t="inlineStr">
        <is>
          <t>'Settings'!$C$12</t>
        </is>
      </c>
    </row>
    <row r="32">
      <c r="B32" s="14" t="inlineStr">
        <is>
          <t>cfgRetestClassDays</t>
        </is>
      </c>
      <c r="C32" s="2" t="inlineStr">
        <is>
          <t>'Settings'!$C$14</t>
        </is>
      </c>
    </row>
    <row r="33">
      <c r="B33" s="14" t="inlineStr">
        <is>
          <t>cfgSignInDate</t>
        </is>
      </c>
      <c r="C33" s="2" t="inlineStr">
        <is>
          <t>'SignIn'!$C$5</t>
        </is>
      </c>
    </row>
    <row r="34">
      <c r="B34" s="14" t="inlineStr">
        <is>
          <t>cfgSpellInterventionAvg</t>
        </is>
      </c>
      <c r="C34" s="2" t="inlineStr">
        <is>
          <t>'Settings'!$C$19</t>
        </is>
      </c>
    </row>
    <row r="35">
      <c r="B35" s="14" t="inlineStr">
        <is>
          <t>cfgSpellPrintMode</t>
        </is>
      </c>
      <c r="C35" s="2" t="inlineStr">
        <is>
          <t>'SpellingPrint'!$E$5</t>
        </is>
      </c>
    </row>
    <row r="36">
      <c r="B36" s="14" t="inlineStr">
        <is>
          <t>cfgSpellPrintNum</t>
        </is>
      </c>
      <c r="C36" s="2" t="inlineStr">
        <is>
          <t>'SpellingPrint'!$C$5</t>
        </is>
      </c>
    </row>
    <row r="37">
      <c r="B37" s="14" t="inlineStr">
        <is>
          <t>cfgStartDate</t>
        </is>
      </c>
      <c r="C37" s="2" t="inlineStr">
        <is>
          <t>'Settings'!$C$7</t>
        </is>
      </c>
    </row>
    <row r="38">
      <c r="B38" s="14" t="inlineStr">
        <is>
          <t>cfgThresholdAfterExam</t>
        </is>
      </c>
      <c r="C38" s="2" t="inlineStr">
        <is>
          <t>'Settings'!$C$13</t>
        </is>
      </c>
    </row>
    <row r="39">
      <c r="B39" s="14" t="inlineStr">
        <is>
          <t>cfgThresholdScore</t>
        </is>
      </c>
      <c r="C39" s="2" t="inlineStr">
        <is>
          <t>'Settings'!$C$11</t>
        </is>
      </c>
    </row>
    <row r="40">
      <c r="B40" s="14" t="inlineStr">
        <is>
          <t>cfgTotalScheduledMinutes</t>
        </is>
      </c>
      <c r="C40" s="2" t="inlineStr">
        <is>
          <t>'Settings'!$C$9</t>
        </is>
      </c>
    </row>
    <row r="41">
      <c r="B41" s="14" t="inlineStr">
        <is>
          <t>cfgTranscriptCadet</t>
        </is>
      </c>
      <c r="C41" s="2" t="inlineStr">
        <is>
          <t>'Transcript'!$C$5</t>
        </is>
      </c>
    </row>
    <row r="42">
      <c r="B42" s="14" t="inlineStr">
        <is>
          <t>cfgWeightFinal</t>
        </is>
      </c>
      <c r="C42" s="2" t="inlineStr">
        <is>
          <t>'Settings'!$C$18</t>
        </is>
      </c>
    </row>
    <row r="43">
      <c r="B43" s="14" t="inlineStr">
        <is>
          <t>cfgWeightMajor</t>
        </is>
      </c>
      <c r="C43" s="2" t="inlineStr">
        <is>
          <t>'Settings'!$C$15</t>
        </is>
      </c>
    </row>
    <row r="44">
      <c r="B44" s="14" t="inlineStr">
        <is>
          <t>cfgWeightMinor</t>
        </is>
      </c>
      <c r="C44" s="2" t="inlineStr">
        <is>
          <t>'Settings'!$C$16</t>
        </is>
      </c>
    </row>
    <row r="45">
      <c r="B45" s="14" t="inlineStr">
        <is>
          <t>cfgWeightSpelling</t>
        </is>
      </c>
      <c r="C45" s="2" t="inlineStr">
        <is>
          <t>'Settings'!$C$17</t>
        </is>
      </c>
    </row>
    <row r="46">
      <c r="B46" s="14" t="inlineStr">
        <is>
          <t>cfgWeightsTotal</t>
        </is>
      </c>
      <c r="C46" s="2" t="inlineStr">
        <is>
          <t>'Settings'!$C$36</t>
        </is>
      </c>
    </row>
    <row r="47">
      <c r="B47" s="14" t="inlineStr">
        <is>
          <t>cfgWritingDueTime</t>
        </is>
      </c>
      <c r="C47" s="2" t="inlineStr">
        <is>
          <t>'Settings'!$C$27</t>
        </is>
      </c>
    </row>
    <row r="48">
      <c r="B48" s="14" t="inlineStr">
        <is>
          <t>lstAssignmentType</t>
        </is>
      </c>
      <c r="C48" s="2" t="inlineStr">
        <is>
          <t>'Lists'!$O$6:$O$10</t>
        </is>
      </c>
    </row>
    <row r="49">
      <c r="B49" s="14" t="inlineStr">
        <is>
          <t>lstAttemptNum</t>
        </is>
      </c>
      <c r="C49" s="2" t="inlineStr">
        <is>
          <t>'Lists'!$Q$6:$Q$10</t>
        </is>
      </c>
    </row>
    <row r="50">
      <c r="B50" s="14" t="inlineStr">
        <is>
          <t>lstAttendanceEvent</t>
        </is>
      </c>
      <c r="C50" s="2" t="inlineStr">
        <is>
          <t>'Lists'!$E$6:$E$14</t>
        </is>
      </c>
    </row>
    <row r="51">
      <c r="B51" s="14" t="inlineStr">
        <is>
          <t>lstAward</t>
        </is>
      </c>
      <c r="C51" s="2" t="inlineStr">
        <is>
          <t>'Lists'!$V$6:$V$9</t>
        </is>
      </c>
    </row>
    <row r="52">
      <c r="B52" s="14" t="inlineStr">
        <is>
          <t>lstCadetStatus</t>
        </is>
      </c>
      <c r="C52" s="2" t="inlineStr">
        <is>
          <t>'Lists'!$C$6:$C$9</t>
        </is>
      </c>
    </row>
    <row r="53">
      <c r="B53" s="14" t="inlineStr">
        <is>
          <t>lstCounselingType</t>
        </is>
      </c>
      <c r="C53" s="2" t="inlineStr">
        <is>
          <t>'Lists'!$S$6:$S$13</t>
        </is>
      </c>
    </row>
    <row r="54">
      <c r="B54" s="14" t="inlineStr">
        <is>
          <t>lstDocumentation</t>
        </is>
      </c>
      <c r="C54" s="2" t="inlineStr">
        <is>
          <t>'Lists'!$G$6:$G$8</t>
        </is>
      </c>
    </row>
    <row r="55">
      <c r="B55" s="14" t="inlineStr">
        <is>
          <t>lstExamType</t>
        </is>
      </c>
      <c r="C55" s="2" t="inlineStr">
        <is>
          <t>'Lists'!$D$6:$D$9</t>
        </is>
      </c>
    </row>
    <row r="56">
      <c r="B56" s="14" t="inlineStr">
        <is>
          <t>lstExcused</t>
        </is>
      </c>
      <c r="C56" s="2" t="inlineStr">
        <is>
          <t>'Lists'!$H$6:$H$7</t>
        </is>
      </c>
    </row>
    <row r="57">
      <c r="B57" s="14" t="inlineStr">
        <is>
          <t>lstIncidentDirection</t>
        </is>
      </c>
      <c r="C57" s="2" t="inlineStr">
        <is>
          <t>'Lists'!$L$6:$L$8</t>
        </is>
      </c>
    </row>
    <row r="58">
      <c r="B58" s="14" t="inlineStr">
        <is>
          <t>lstInstructorType</t>
        </is>
      </c>
      <c r="C58" s="2" t="inlineStr">
        <is>
          <t>'Lists'!$W$6:$W$9</t>
        </is>
      </c>
    </row>
    <row r="59">
      <c r="B59" s="14" t="inlineStr">
        <is>
          <t>lstIssuetype</t>
        </is>
      </c>
      <c r="C59" s="2" t="inlineStr">
        <is>
          <t>'Lists'!$R$6:$R$12</t>
        </is>
      </c>
    </row>
    <row r="60">
      <c r="B60" s="14" t="inlineStr">
        <is>
          <t>lstMakeupType</t>
        </is>
      </c>
      <c r="C60" s="2" t="inlineStr">
        <is>
          <t>'Lists'!$I$6:$I$9</t>
        </is>
      </c>
    </row>
    <row r="61">
      <c r="B61" s="14" t="inlineStr">
        <is>
          <t>lstMaterialsStatus</t>
        </is>
      </c>
      <c r="C61" s="2" t="inlineStr">
        <is>
          <t>'Lists'!$X$6:$X$9</t>
        </is>
      </c>
    </row>
    <row r="62">
      <c r="B62" s="14" t="inlineStr">
        <is>
          <t>lstMedicalStatus</t>
        </is>
      </c>
      <c r="C62" s="2" t="inlineStr">
        <is>
          <t>'Lists'!$T$6:$T$9</t>
        </is>
      </c>
    </row>
    <row r="63">
      <c r="B63" s="14" t="inlineStr">
        <is>
          <t>lstPtSession</t>
        </is>
      </c>
      <c r="C63" s="2" t="inlineStr">
        <is>
          <t>'Lists'!$U$6:$U$8</t>
        </is>
      </c>
    </row>
    <row r="64">
      <c r="B64" s="14" t="inlineStr">
        <is>
          <t>lstReason</t>
        </is>
      </c>
      <c r="C64" s="2" t="inlineStr">
        <is>
          <t>'Lists'!$F$6:$F$11</t>
        </is>
      </c>
    </row>
    <row r="65">
      <c r="B65" s="14" t="inlineStr">
        <is>
          <t>lstRequirementSource</t>
        </is>
      </c>
      <c r="C65" s="2" t="inlineStr">
        <is>
          <t>'Lists'!$Y$6:$Y$7</t>
        </is>
      </c>
    </row>
    <row r="66">
      <c r="B66" s="14" t="inlineStr">
        <is>
          <t>lstResolution</t>
        </is>
      </c>
      <c r="C66" s="2" t="inlineStr">
        <is>
          <t>'Lists'!$N$6:$N$9</t>
        </is>
      </c>
    </row>
    <row r="67">
      <c r="B67" s="14" t="inlineStr">
        <is>
          <t>lstReviewOutcome</t>
        </is>
      </c>
      <c r="C67" s="2" t="inlineStr">
        <is>
          <t>'Lists'!$AA$6:$AA$9</t>
        </is>
      </c>
    </row>
    <row r="68">
      <c r="B68" s="14" t="inlineStr">
        <is>
          <t>lstReviewType</t>
        </is>
      </c>
      <c r="C68" s="2" t="inlineStr">
        <is>
          <t>'Lists'!$Z$6:$Z$8</t>
        </is>
      </c>
    </row>
    <row r="69">
      <c r="B69" s="14" t="inlineStr">
        <is>
          <t>lstScoringMode</t>
        </is>
      </c>
      <c r="C69" s="2" t="inlineStr">
        <is>
          <t>'Lists'!$J$6:$J$7</t>
        </is>
      </c>
    </row>
    <row r="70">
      <c r="B70" s="14" t="inlineStr">
        <is>
          <t>lstSeverity</t>
        </is>
      </c>
      <c r="C70" s="2" t="inlineStr">
        <is>
          <t>'Lists'!$M$6:$M$10</t>
        </is>
      </c>
    </row>
    <row r="71">
      <c r="B71" s="14" t="inlineStr">
        <is>
          <t>lstSkillResult</t>
        </is>
      </c>
      <c r="C71" s="2" t="inlineStr">
        <is>
          <t>'Lists'!$K$6:$K$8</t>
        </is>
      </c>
    </row>
    <row r="72">
      <c r="B72" s="14" t="inlineStr">
        <is>
          <t>lstSubmission</t>
        </is>
      </c>
      <c r="C72" s="2" t="inlineStr">
        <is>
          <t>'Lists'!$P$6:$P$9</t>
        </is>
      </c>
    </row>
    <row r="73">
      <c r="B73" s="14" t="inlineStr">
        <is>
          <t>lstYesNo</t>
        </is>
      </c>
      <c r="C73" s="2" t="inlineStr">
        <is>
          <t>'Lists'!$B$6:$B$7</t>
        </is>
      </c>
    </row>
    <row r="74">
      <c r="B74" s="14" t="inlineStr">
        <is>
          <t>nrATTclElig</t>
        </is>
      </c>
      <c r="C74" s="2" t="inlineStr">
        <is>
          <t>'sysAttendance'!$K$6:$K$55</t>
        </is>
      </c>
    </row>
    <row r="75">
      <c r="B75" s="14" t="inlineStr">
        <is>
          <t>nrATTclOwed</t>
        </is>
      </c>
      <c r="C75" s="2" t="inlineStr">
        <is>
          <t>'sysAttendance'!$L$6:$L$55</t>
        </is>
      </c>
    </row>
    <row r="76">
      <c r="B76" s="14" t="inlineStr">
        <is>
          <t>nrATTclPct</t>
        </is>
      </c>
      <c r="C76" s="2" t="inlineStr">
        <is>
          <t>'sysAttendance'!$I$6:$I$55</t>
        </is>
      </c>
    </row>
    <row r="77">
      <c r="B77" s="14" t="inlineStr">
        <is>
          <t>nrATTclTier</t>
        </is>
      </c>
      <c r="C77" s="2" t="inlineStr">
        <is>
          <t>'sysAttendance'!$J$6:$J$55</t>
        </is>
      </c>
    </row>
    <row r="78">
      <c r="B78" s="14" t="inlineStr">
        <is>
          <t>nrATTmakeupOK</t>
        </is>
      </c>
      <c r="C78" s="2" t="inlineStr">
        <is>
          <t>'sysAttendance'!$T$6:$T$55</t>
        </is>
      </c>
    </row>
    <row r="79">
      <c r="B79" s="14" t="inlineStr">
        <is>
          <t>nrATTptElig</t>
        </is>
      </c>
      <c r="C79" s="2" t="inlineStr">
        <is>
          <t>'sysAttendance'!$S$6:$S$55</t>
        </is>
      </c>
    </row>
    <row r="80">
      <c r="B80" s="14" t="inlineStr">
        <is>
          <t>nrATTptPct</t>
        </is>
      </c>
      <c r="C80" s="2" t="inlineStr">
        <is>
          <t>'sysAttendance'!$Q$6:$Q$55</t>
        </is>
      </c>
    </row>
    <row r="81">
      <c r="B81" s="14" t="inlineStr">
        <is>
          <t>nrATTptTier</t>
        </is>
      </c>
      <c r="C81" s="2" t="inlineStr">
        <is>
          <t>'sysAttendance'!$R$6:$R$55</t>
        </is>
      </c>
    </row>
    <row r="82">
      <c r="B82" s="14" t="inlineStr">
        <is>
          <t>nrAT_Counts</t>
        </is>
      </c>
      <c r="C82" s="2" t="inlineStr">
        <is>
          <t>'Attendance'!$N$6:$N$805</t>
        </is>
      </c>
    </row>
    <row r="83">
      <c r="B83" s="14" t="inlineStr">
        <is>
          <t>nrAT_Date</t>
        </is>
      </c>
      <c r="C83" s="2" t="inlineStr">
        <is>
          <t>'Attendance'!$C$6:$C$805</t>
        </is>
      </c>
    </row>
    <row r="84">
      <c r="B84" s="14" t="inlineStr">
        <is>
          <t>nrAT_Excused</t>
        </is>
      </c>
      <c r="C84" s="2" t="inlineStr">
        <is>
          <t>'Attendance'!$M$6:$M$805</t>
        </is>
      </c>
    </row>
    <row r="85">
      <c r="B85" s="14" t="inlineStr">
        <is>
          <t>nrAT_IsPT</t>
        </is>
      </c>
      <c r="C85" s="2" t="inlineStr">
        <is>
          <t>'Attendance'!$K$6:$K$805</t>
        </is>
      </c>
    </row>
    <row r="86">
      <c r="B86" s="14" t="inlineStr">
        <is>
          <t>nrAT_Min</t>
        </is>
      </c>
      <c r="C86" s="2" t="inlineStr">
        <is>
          <t>'Attendance'!$I$6:$I$805</t>
        </is>
      </c>
    </row>
    <row r="87">
      <c r="B87" s="14" t="inlineStr">
        <is>
          <t>nrAT_PID</t>
        </is>
      </c>
      <c r="C87" s="2" t="inlineStr">
        <is>
          <t>'Attendance'!$E$6:$E$805</t>
        </is>
      </c>
    </row>
    <row r="88">
      <c r="B88" s="14" t="inlineStr">
        <is>
          <t>nrAT_Sess</t>
        </is>
      </c>
      <c r="C88" s="2" t="inlineStr">
        <is>
          <t>'Attendance'!$J$6:$J$805</t>
        </is>
      </c>
    </row>
    <row r="89">
      <c r="B89" s="14" t="inlineStr">
        <is>
          <t>nrAT_Type</t>
        </is>
      </c>
      <c r="C89" s="2" t="inlineStr">
        <is>
          <t>'Attendance'!$G$6:$G$805</t>
        </is>
      </c>
    </row>
    <row r="90">
      <c r="B90" s="14" t="inlineStr">
        <is>
          <t>nrAUDcheck</t>
        </is>
      </c>
      <c r="C90" s="2" t="inlineStr">
        <is>
          <t>'sysAudit'!$B$6:$B$19</t>
        </is>
      </c>
    </row>
    <row r="91">
      <c r="B91" s="14" t="inlineStr">
        <is>
          <t>nrAUDstatus</t>
        </is>
      </c>
      <c r="C91" s="2" t="inlineStr">
        <is>
          <t>'sysAudit'!$E$6:$E$19</t>
        </is>
      </c>
    </row>
    <row r="92">
      <c r="B92" s="14" t="inlineStr">
        <is>
          <t>nrAWfinal</t>
        </is>
      </c>
      <c r="C92" s="2" t="inlineStr">
        <is>
          <t>'sysAwards'!$F$6:$F$9</t>
        </is>
      </c>
    </row>
    <row r="93">
      <c r="B93" s="14" t="inlineStr">
        <is>
          <t>nrAWnames</t>
        </is>
      </c>
      <c r="C93" s="2" t="inlineStr">
        <is>
          <t>'sysAwards'!$B$6:$B$9</t>
        </is>
      </c>
    </row>
    <row r="94">
      <c r="B94" s="14" t="inlineStr">
        <is>
          <t>nrAgencyLastEmail</t>
        </is>
      </c>
      <c r="C94" s="2" t="inlineStr">
        <is>
          <t>'Agencies'!$I$6:$I$50</t>
        </is>
      </c>
    </row>
    <row r="95">
      <c r="B95" s="14" t="inlineStr">
        <is>
          <t>nrAllClosures</t>
        </is>
      </c>
      <c r="C95" s="2" t="inlineStr">
        <is>
          <t>'Control'!$M$6:$M$42</t>
        </is>
      </c>
    </row>
    <row r="96">
      <c r="B96" s="14" t="inlineStr">
        <is>
          <t>nrBankGrid</t>
        </is>
      </c>
      <c r="C96" s="2" t="inlineStr">
        <is>
          <t>'InstructorBanks'!$C$6:$L$80</t>
        </is>
      </c>
    </row>
    <row r="97">
      <c r="B97" s="14" t="inlineStr">
        <is>
          <t>nrBankSel</t>
        </is>
      </c>
      <c r="C97" s="2" t="inlineStr">
        <is>
          <t>'InstructorBanks'!$M$6:$T$80</t>
        </is>
      </c>
    </row>
    <row r="98">
      <c r="B98" s="14" t="inlineStr">
        <is>
          <t>nrBankTopics</t>
        </is>
      </c>
      <c r="C98" s="2" t="inlineStr">
        <is>
          <t>'InstructorBanks'!$B$6:$B$80</t>
        </is>
      </c>
    </row>
    <row r="99">
      <c r="B99" s="14" t="inlineStr">
        <is>
          <t>nrCDdate</t>
        </is>
      </c>
      <c r="C99" s="2" t="inlineStr">
        <is>
          <t>'Control'!$I$6:$I$175</t>
        </is>
      </c>
    </row>
    <row r="100">
      <c r="B100" s="14" t="inlineStr">
        <is>
          <t>nrCDinsession</t>
        </is>
      </c>
      <c r="C100" s="2" t="inlineStr">
        <is>
          <t>'Control'!$K$6:$K$175</t>
        </is>
      </c>
    </row>
    <row r="101">
      <c r="B101" s="14" t="inlineStr">
        <is>
          <t>nrCDnum</t>
        </is>
      </c>
      <c r="C101" s="2" t="inlineStr">
        <is>
          <t>'Control'!$H$6:$H$175</t>
        </is>
      </c>
    </row>
    <row r="102">
      <c r="B102" s="14" t="inlineStr">
        <is>
          <t>nrCDweek</t>
        </is>
      </c>
      <c r="C102" s="2" t="inlineStr">
        <is>
          <t>'Control'!$J$6:$J$175</t>
        </is>
      </c>
    </row>
    <row r="103">
      <c r="B103" s="14" t="inlineStr">
        <is>
          <t>nrCERTall</t>
        </is>
      </c>
      <c r="C103" s="2" t="inlineStr">
        <is>
          <t>'Certifications'!$T$6:$T$55</t>
        </is>
      </c>
    </row>
    <row r="104">
      <c r="B104" s="14" t="inlineStr">
        <is>
          <t>nrCERTmissing</t>
        </is>
      </c>
      <c r="C104" s="2" t="inlineStr">
        <is>
          <t>'Certifications'!$U$6:$U$55</t>
        </is>
      </c>
    </row>
    <row r="105">
      <c r="B105" s="14" t="inlineStr">
        <is>
          <t>nrCHassess</t>
        </is>
      </c>
      <c r="C105" s="2" t="inlineStr">
        <is>
          <t>'ChapterMaster'!$O$6:$O$49</t>
        </is>
      </c>
    </row>
    <row r="106">
      <c r="B106" s="14" t="inlineStr">
        <is>
          <t>nrCHbio</t>
        </is>
      </c>
      <c r="C106" s="2" t="inlineStr">
        <is>
          <t>'ChapterMaster'!$M$6:$M$49</t>
        </is>
      </c>
    </row>
    <row r="107">
      <c r="B107" s="14" t="inlineStr">
        <is>
          <t>nrCHdeliv</t>
        </is>
      </c>
      <c r="C107" s="2" t="inlineStr">
        <is>
          <t>'ChapterMaster'!$G$6:$G$49</t>
        </is>
      </c>
    </row>
    <row r="108">
      <c r="B108" s="14" t="inlineStr">
        <is>
          <t>nrCHevals</t>
        </is>
      </c>
      <c r="C108" s="2" t="inlineStr">
        <is>
          <t>'ChapterMaster'!$Q$6:$Q$49</t>
        </is>
      </c>
    </row>
    <row r="109">
      <c r="B109" s="14" t="inlineStr">
        <is>
          <t>nrCHfileOK</t>
        </is>
      </c>
      <c r="C109" s="2" t="inlineStr">
        <is>
          <t>'ChapterMaster'!$U$6:$U$49</t>
        </is>
      </c>
    </row>
    <row r="110">
      <c r="B110" s="14" t="inlineStr">
        <is>
          <t>nrCHfirst</t>
        </is>
      </c>
      <c r="C110" s="2" t="inlineStr">
        <is>
          <t>'ChapterMaster'!$I$6:$I$49</t>
        </is>
      </c>
    </row>
    <row r="111">
      <c r="B111" s="14" t="inlineStr">
        <is>
          <t>nrCHgrade</t>
        </is>
      </c>
      <c r="C111" s="2" t="inlineStr">
        <is>
          <t>'ChapterMaster'!$P$6:$P$49</t>
        </is>
      </c>
    </row>
    <row r="112">
      <c r="B112" s="14" t="inlineStr">
        <is>
          <t>nrCHhandoutOpt</t>
        </is>
      </c>
      <c r="C112" s="2" t="inlineStr">
        <is>
          <t>'ChapterMaster'!$R$6:$R$49</t>
        </is>
      </c>
    </row>
    <row r="113">
      <c r="B113" s="14" t="inlineStr">
        <is>
          <t>nrCHinstr</t>
        </is>
      </c>
      <c r="C113" s="2" t="inlineStr">
        <is>
          <t>'ChapterMaster'!$K$6:$K$49</t>
        </is>
      </c>
    </row>
    <row r="114">
      <c r="B114" s="14" t="inlineStr">
        <is>
          <t>nrCHlesson</t>
        </is>
      </c>
      <c r="C114" s="2" t="inlineStr">
        <is>
          <t>'ChapterMaster'!$L$6:$L$49</t>
        </is>
      </c>
    </row>
    <row r="115">
      <c r="B115" s="14" t="inlineStr">
        <is>
          <t>nrCHmin</t>
        </is>
      </c>
      <c r="C115" s="2" t="inlineStr">
        <is>
          <t>'ChapterMaster'!$E$6:$E$49</t>
        </is>
      </c>
    </row>
    <row r="116">
      <c r="B116" s="14" t="inlineStr">
        <is>
          <t>nrCHmod</t>
        </is>
      </c>
      <c r="C116" s="2" t="inlineStr">
        <is>
          <t>'ChapterMaster'!$B$6:$B$49</t>
        </is>
      </c>
    </row>
    <row r="117">
      <c r="B117" s="14" t="inlineStr">
        <is>
          <t>nrCHname</t>
        </is>
      </c>
      <c r="C117" s="2" t="inlineStr">
        <is>
          <t>'ChapterMaster'!$D$6:$D$49</t>
        </is>
      </c>
    </row>
    <row r="118">
      <c r="B118" s="14" t="inlineStr">
        <is>
          <t>nrCHnum</t>
        </is>
      </c>
      <c r="C118" s="2" t="inlineStr">
        <is>
          <t>'ChapterMaster'!$C$6:$C$49</t>
        </is>
      </c>
    </row>
    <row r="119">
      <c r="B119" s="14" t="inlineStr">
        <is>
          <t>nrCHplan</t>
        </is>
      </c>
      <c r="C119" s="2" t="inlineStr">
        <is>
          <t>'ChapterMaster'!$F$6:$F$49</t>
        </is>
      </c>
    </row>
    <row r="120">
      <c r="B120" s="14" t="inlineStr">
        <is>
          <t>nrCHsignin</t>
        </is>
      </c>
      <c r="C120" s="2" t="inlineStr">
        <is>
          <t>'ChapterMaster'!$N$6:$N$49</t>
        </is>
      </c>
    </row>
    <row r="121">
      <c r="B121" s="14" t="inlineStr">
        <is>
          <t>nrCHspecial</t>
        </is>
      </c>
      <c r="C121" s="2" t="inlineStr">
        <is>
          <t>'ChapterMaster'!$S$6:$S$49</t>
        </is>
      </c>
    </row>
    <row r="122">
      <c r="B122" s="14" t="inlineStr">
        <is>
          <t>nrCHspecialMet</t>
        </is>
      </c>
      <c r="C122" s="2" t="inlineStr">
        <is>
          <t>'ChapterMaster'!$T$6:$T$49</t>
        </is>
      </c>
    </row>
    <row r="123">
      <c r="B123" s="14" t="inlineStr">
        <is>
          <t>nrCHtotalDelivered</t>
        </is>
      </c>
      <c r="C123" s="2" t="inlineStr">
        <is>
          <t>'ChapterMaster'!$G$51</t>
        </is>
      </c>
    </row>
    <row r="124">
      <c r="B124" s="14" t="inlineStr">
        <is>
          <t>nrCKblocking</t>
        </is>
      </c>
      <c r="C124" s="2" t="inlineStr">
        <is>
          <t>'sysChecks'!$O$6:$O$55</t>
        </is>
      </c>
    </row>
    <row r="125">
      <c r="B125" s="14" t="inlineStr">
        <is>
          <t>nrCKfinalExamElig</t>
        </is>
      </c>
      <c r="C125" s="2" t="inlineStr">
        <is>
          <t>'sysChecks'!$P$6:$P$55</t>
        </is>
      </c>
    </row>
    <row r="126">
      <c r="B126" s="14" t="inlineStr">
        <is>
          <t>nrCKgradElig</t>
        </is>
      </c>
      <c r="C126" s="2" t="inlineStr">
        <is>
          <t>'sysChecks'!$N$6:$N$55</t>
        </is>
      </c>
    </row>
    <row r="127">
      <c r="B127" s="14" t="inlineStr">
        <is>
          <t>nrCO_Date</t>
        </is>
      </c>
      <c r="C127" s="2" t="inlineStr">
        <is>
          <t>'Counseling'!$C$6:$C$405</t>
        </is>
      </c>
    </row>
    <row r="128">
      <c r="B128" s="14" t="inlineStr">
        <is>
          <t>nrCO_Desc</t>
        </is>
      </c>
      <c r="C128" s="2" t="inlineStr">
        <is>
          <t>'Counseling'!$H$6:$H$405</t>
        </is>
      </c>
    </row>
    <row r="129">
      <c r="B129" s="14" t="inlineStr">
        <is>
          <t>nrCO_PID</t>
        </is>
      </c>
      <c r="C129" s="2" t="inlineStr">
        <is>
          <t>'Counseling'!$E$6:$E$405</t>
        </is>
      </c>
    </row>
    <row r="130">
      <c r="B130" s="14" t="inlineStr">
        <is>
          <t>nrCO_Status</t>
        </is>
      </c>
      <c r="C130" s="2" t="inlineStr">
        <is>
          <t>'Counseling'!$M$6:$M$405</t>
        </is>
      </c>
    </row>
    <row r="131">
      <c r="B131" s="14" t="inlineStr">
        <is>
          <t>nrCO_Type</t>
        </is>
      </c>
      <c r="C131" s="2" t="inlineStr">
        <is>
          <t>'Counseling'!$F$6:$F$405</t>
        </is>
      </c>
    </row>
    <row r="132">
      <c r="B132" s="14" t="inlineStr">
        <is>
          <t>nrCadetAgency</t>
        </is>
      </c>
      <c r="C132" s="2" t="inlineStr">
        <is>
          <t>'Cadets'!$H$6:$H$55</t>
        </is>
      </c>
    </row>
    <row r="133">
      <c r="B133" s="14" t="inlineStr">
        <is>
          <t>nrCadetAgencyID</t>
        </is>
      </c>
      <c r="C133" s="2" t="inlineStr">
        <is>
          <t>'Cadets'!$G$6:$G$55</t>
        </is>
      </c>
    </row>
    <row r="134">
      <c r="B134" s="14" t="inlineStr">
        <is>
          <t>nrCadetStatus</t>
        </is>
      </c>
      <c r="C134" s="2" t="inlineStr">
        <is>
          <t>'Cadets'!$I$6:$I$55</t>
        </is>
      </c>
    </row>
    <row r="135">
      <c r="B135" s="14" t="inlineStr">
        <is>
          <t>nrELagency</t>
        </is>
      </c>
      <c r="C135" s="2" t="inlineStr">
        <is>
          <t>'EmailLog'!$C$6:$C$505</t>
        </is>
      </c>
    </row>
    <row r="136">
      <c r="B136" s="14" t="inlineStr">
        <is>
          <t>nrELdate</t>
        </is>
      </c>
      <c r="C136" s="2" t="inlineStr">
        <is>
          <t>'EmailLog'!$B$6:$B$505</t>
        </is>
      </c>
    </row>
    <row r="137">
      <c r="B137" s="14" t="inlineStr">
        <is>
          <t>nrEPVgrid</t>
        </is>
      </c>
      <c r="C137" s="2" t="inlineStr">
        <is>
          <t>'EmailPreview'!$B$9:$J$58</t>
        </is>
      </c>
    </row>
    <row r="138">
      <c r="B138" s="14" t="inlineStr">
        <is>
          <t>nrEPVsinceRow</t>
        </is>
      </c>
      <c r="C138" s="2" t="inlineStr">
        <is>
          <t>'EmailPreview'!$B$62</t>
        </is>
      </c>
    </row>
    <row r="139">
      <c r="B139" s="14" t="inlineStr">
        <is>
          <t>nrES_Att</t>
        </is>
      </c>
      <c r="C139" s="2" t="inlineStr">
        <is>
          <t>'ExamScores'!$K$6:$K$1505</t>
        </is>
      </c>
    </row>
    <row r="140">
      <c r="B140" s="14" t="inlineStr">
        <is>
          <t>nrES_Code</t>
        </is>
      </c>
      <c r="C140" s="2" t="inlineStr">
        <is>
          <t>'ExamScores'!$F$6:$F$1505</t>
        </is>
      </c>
    </row>
    <row r="141">
      <c r="B141" s="14" t="inlineStr">
        <is>
          <t>nrES_Date</t>
        </is>
      </c>
      <c r="C141" s="2" t="inlineStr">
        <is>
          <t>'ExamScores'!$S$6:$S$1505</t>
        </is>
      </c>
    </row>
    <row r="142">
      <c r="B142" s="14" t="inlineStr">
        <is>
          <t>nrES_Dis</t>
        </is>
      </c>
      <c r="C142" s="2" t="inlineStr">
        <is>
          <t>'ExamScores'!$R$6:$R$1505</t>
        </is>
      </c>
    </row>
    <row r="143">
      <c r="B143" s="14" t="inlineStr">
        <is>
          <t>nrES_Final</t>
        </is>
      </c>
      <c r="C143" s="2" t="inlineStr">
        <is>
          <t>'ExamScores'!$P$6:$P$1505</t>
        </is>
      </c>
    </row>
    <row r="144">
      <c r="B144" s="14" t="inlineStr">
        <is>
          <t>nrES_PID</t>
        </is>
      </c>
      <c r="C144" s="2" t="inlineStr">
        <is>
          <t>'ExamScores'!$D$6:$D$1505</t>
        </is>
      </c>
    </row>
    <row r="145">
      <c r="B145" s="14" t="inlineStr">
        <is>
          <t>nrES_Raw</t>
        </is>
      </c>
      <c r="C145" s="2" t="inlineStr">
        <is>
          <t>'ExamScores'!$L$6:$L$1505</t>
        </is>
      </c>
    </row>
    <row r="146">
      <c r="B146" s="14" t="inlineStr">
        <is>
          <t>nrES_Rec</t>
        </is>
      </c>
      <c r="C146" s="2" t="inlineStr">
        <is>
          <t>'ExamScores'!$M$6:$M$1505</t>
        </is>
      </c>
    </row>
    <row r="147">
      <c r="B147" s="14" t="inlineStr">
        <is>
          <t>nrES_RetDue</t>
        </is>
      </c>
      <c r="C147" s="2" t="inlineStr">
        <is>
          <t>'ExamScores'!$T$6:$T$1505</t>
        </is>
      </c>
    </row>
    <row r="148">
      <c r="B148" s="14" t="inlineStr">
        <is>
          <t>nrES_RetReq</t>
        </is>
      </c>
      <c r="C148" s="2" t="inlineStr">
        <is>
          <t>'ExamScores'!$Q$6:$Q$1505</t>
        </is>
      </c>
    </row>
    <row r="149">
      <c r="B149" s="14" t="inlineStr">
        <is>
          <t>nrES_RetStat</t>
        </is>
      </c>
      <c r="C149" s="2" t="inlineStr">
        <is>
          <t>'ExamScores'!$U$6:$U$1505</t>
        </is>
      </c>
    </row>
    <row r="150">
      <c r="B150" s="14" t="inlineStr">
        <is>
          <t>nrES_Seq</t>
        </is>
      </c>
      <c r="C150" s="2" t="inlineStr">
        <is>
          <t>'ExamScores'!$I$6:$I$1505</t>
        </is>
      </c>
    </row>
    <row r="151">
      <c r="B151" s="14" t="inlineStr">
        <is>
          <t>nrES_Type</t>
        </is>
      </c>
      <c r="C151" s="2" t="inlineStr">
        <is>
          <t>'ExamScores'!$H$6:$H$1505</t>
        </is>
      </c>
    </row>
    <row r="152">
      <c r="B152" s="14" t="inlineStr">
        <is>
          <t>nrExtraClosures</t>
        </is>
      </c>
      <c r="C152" s="2" t="inlineStr">
        <is>
          <t>'Control'!$F$6:$F$20</t>
        </is>
      </c>
    </row>
    <row r="153">
      <c r="B153" s="14" t="inlineStr">
        <is>
          <t>nrFLcount</t>
        </is>
      </c>
      <c r="C153" s="2" t="inlineStr">
        <is>
          <t>'sysFlags'!$P$6:$P$55</t>
        </is>
      </c>
    </row>
    <row r="154">
      <c r="B154" s="14" t="inlineStr">
        <is>
          <t>nrFLreasons</t>
        </is>
      </c>
      <c r="C154" s="2" t="inlineStr">
        <is>
          <t>'sysFlags'!$Q$6:$Q$55</t>
        </is>
      </c>
    </row>
    <row r="155">
      <c r="B155" s="14" t="inlineStr">
        <is>
          <t>nrGRacademic</t>
        </is>
      </c>
      <c r="C155" s="2" t="inlineStr">
        <is>
          <t>'sysGrades'!$V$6:$V$55</t>
        </is>
      </c>
    </row>
    <row r="156">
      <c r="B156" s="14" t="inlineStr">
        <is>
          <t>nrGRconsec</t>
        </is>
      </c>
      <c r="C156" s="2" t="inlineStr">
        <is>
          <t>'sysGrades'!$AC$6:$AC$55</t>
        </is>
      </c>
    </row>
    <row r="157">
      <c r="B157" s="14" t="inlineStr">
        <is>
          <t>nrGRcurrent</t>
        </is>
      </c>
      <c r="C157" s="2" t="inlineStr">
        <is>
          <t>'sysGrades'!$M$6:$M$55</t>
        </is>
      </c>
    </row>
    <row r="158">
      <c r="B158" s="14" t="inlineStr">
        <is>
          <t>nrGRdisrev</t>
        </is>
      </c>
      <c r="C158" s="2" t="inlineStr">
        <is>
          <t>'sysGrades'!$P$6:$P$55</t>
        </is>
      </c>
    </row>
    <row r="159">
      <c r="B159" s="14" t="inlineStr">
        <is>
          <t>nrGRfinal</t>
        </is>
      </c>
      <c r="C159" s="2" t="inlineStr">
        <is>
          <t>'sysGrades'!$N$6:$N$55</t>
        </is>
      </c>
    </row>
    <row r="160">
      <c r="B160" s="14" t="inlineStr">
        <is>
          <t>nrGRgradedrop</t>
        </is>
      </c>
      <c r="C160" s="2" t="inlineStr">
        <is>
          <t>'sysGrades'!$AB$6:$AB$55</t>
        </is>
      </c>
    </row>
    <row r="161">
      <c r="B161" s="14" t="inlineStr">
        <is>
          <t>nrGRmajavg</t>
        </is>
      </c>
      <c r="C161" s="2" t="inlineStr">
        <is>
          <t>'sysGrades'!$I$6:$I$55</t>
        </is>
      </c>
    </row>
    <row r="162">
      <c r="B162" s="14" t="inlineStr">
        <is>
          <t>nrGRminavg</t>
        </is>
      </c>
      <c r="C162" s="2" t="inlineStr">
        <is>
          <t>'sysGrades'!$J$6:$J$55</t>
        </is>
      </c>
    </row>
    <row r="163">
      <c r="B163" s="14" t="inlineStr">
        <is>
          <t>nrGRrank</t>
        </is>
      </c>
      <c r="C163" s="2" t="inlineStr">
        <is>
          <t>'sysGrades'!$U$6:$U$55</t>
        </is>
      </c>
    </row>
    <row r="164">
      <c r="B164" s="14" t="inlineStr">
        <is>
          <t>nrGRretakes</t>
        </is>
      </c>
      <c r="C164" s="2" t="inlineStr">
        <is>
          <t>'sysGrades'!$O$6:$O$55</t>
        </is>
      </c>
    </row>
    <row r="165">
      <c r="B165" s="14" t="inlineStr">
        <is>
          <t>nrHolidays1</t>
        </is>
      </c>
      <c r="C165" s="2" t="inlineStr">
        <is>
          <t>'Control'!$C$6:$C$16</t>
        </is>
      </c>
    </row>
    <row r="166">
      <c r="B166" s="14" t="inlineStr">
        <is>
          <t>nrHolidays2</t>
        </is>
      </c>
      <c r="C166" s="2" t="inlineStr">
        <is>
          <t>'Control'!$D$6:$D$16</t>
        </is>
      </c>
    </row>
    <row r="167">
      <c r="B167" s="14" t="inlineStr">
        <is>
          <t>nrINCelig</t>
        </is>
      </c>
      <c r="C167" s="2" t="inlineStr">
        <is>
          <t>'sysIncidents'!$K$6:$K$55</t>
        </is>
      </c>
    </row>
    <row r="168">
      <c r="B168" s="14" t="inlineStr">
        <is>
          <t>nrINCopenNeg</t>
        </is>
      </c>
      <c r="C168" s="2" t="inlineStr">
        <is>
          <t>'sysIncidents'!$H$6:$H$55</t>
        </is>
      </c>
    </row>
    <row r="169">
      <c r="B169" s="14" t="inlineStr">
        <is>
          <t>nrIN_Chain</t>
        </is>
      </c>
      <c r="C169" s="2" t="inlineStr">
        <is>
          <t>'Incidents'!$L$6:$L$405</t>
        </is>
      </c>
    </row>
    <row r="170">
      <c r="B170" s="14" t="inlineStr">
        <is>
          <t>nrIN_Date</t>
        </is>
      </c>
      <c r="C170" s="2" t="inlineStr">
        <is>
          <t>'Incidents'!$C$6:$C$405</t>
        </is>
      </c>
    </row>
    <row r="171">
      <c r="B171" s="14" t="inlineStr">
        <is>
          <t>nrIN_Desc</t>
        </is>
      </c>
      <c r="C171" s="2" t="inlineStr">
        <is>
          <t>'Incidents'!$I$6:$I$405</t>
        </is>
      </c>
    </row>
    <row r="172">
      <c r="B172" s="14" t="inlineStr">
        <is>
          <t>nrIN_Dir</t>
        </is>
      </c>
      <c r="C172" s="2" t="inlineStr">
        <is>
          <t>'Incidents'!$F$6:$F$405</t>
        </is>
      </c>
    </row>
    <row r="173">
      <c r="B173" s="14" t="inlineStr">
        <is>
          <t>nrIN_PID</t>
        </is>
      </c>
      <c r="C173" s="2" t="inlineStr">
        <is>
          <t>'Incidents'!$E$6:$E$405</t>
        </is>
      </c>
    </row>
    <row r="174">
      <c r="B174" s="14" t="inlineStr">
        <is>
          <t>nrIN_Res</t>
        </is>
      </c>
      <c r="C174" s="2" t="inlineStr">
        <is>
          <t>'Incidents'!$M$6:$M$405</t>
        </is>
      </c>
    </row>
    <row r="175">
      <c r="B175" s="14" t="inlineStr">
        <is>
          <t>nrIN_Sev</t>
        </is>
      </c>
      <c r="C175" s="2" t="inlineStr">
        <is>
          <t>'Incidents'!$G$6:$G$405</t>
        </is>
      </c>
    </row>
    <row r="176">
      <c r="B176" s="14" t="inlineStr">
        <is>
          <t>nrInstrChTaught</t>
        </is>
      </c>
      <c r="C176" s="2" t="inlineStr">
        <is>
          <t>'Instructors'!$M$6:$M$95</t>
        </is>
      </c>
    </row>
    <row r="177">
      <c r="B177" s="14" t="inlineStr">
        <is>
          <t>nrInstrNames</t>
        </is>
      </c>
      <c r="C177" s="2" t="inlineStr">
        <is>
          <t>'Instructors'!$B$6:$B$95</t>
        </is>
      </c>
    </row>
    <row r="178">
      <c r="B178" s="14" t="inlineStr">
        <is>
          <t>nrInstrOnSched</t>
        </is>
      </c>
      <c r="C178" s="2" t="inlineStr">
        <is>
          <t>'Instructors'!$L$6:$L$95</t>
        </is>
      </c>
    </row>
    <row r="179">
      <c r="B179" s="14" t="inlineStr">
        <is>
          <t>nrInstrReady</t>
        </is>
      </c>
      <c r="C179" s="2" t="inlineStr">
        <is>
          <t>'Instructors'!$K$6:$K$95</t>
        </is>
      </c>
    </row>
    <row r="180">
      <c r="B180" s="14" t="inlineStr">
        <is>
          <t>nrMD_PID</t>
        </is>
      </c>
      <c r="C180" s="2" t="inlineStr">
        <is>
          <t>'Medical'!$E$6:$E$205</t>
        </is>
      </c>
    </row>
    <row r="181">
      <c r="B181" s="14" t="inlineStr">
        <is>
          <t>nrMD_Restr</t>
        </is>
      </c>
      <c r="C181" s="2" t="inlineStr">
        <is>
          <t>'Medical'!$H$6:$H$205</t>
        </is>
      </c>
    </row>
    <row r="182">
      <c r="B182" s="14" t="inlineStr">
        <is>
          <t>nrMD_Status</t>
        </is>
      </c>
      <c r="C182" s="2" t="inlineStr">
        <is>
          <t>'Medical'!$M$6:$M$205</t>
        </is>
      </c>
    </row>
    <row r="183">
      <c r="B183" s="14" t="inlineStr">
        <is>
          <t>nrMK_Credit</t>
        </is>
      </c>
      <c r="C183" s="2" t="inlineStr">
        <is>
          <t>'Makeup'!$L$6:$L$505</t>
        </is>
      </c>
    </row>
    <row r="184">
      <c r="B184" s="14" t="inlineStr">
        <is>
          <t>nrMK_Min</t>
        </is>
      </c>
      <c r="C184" s="2" t="inlineStr">
        <is>
          <t>'Makeup'!$G$6:$G$505</t>
        </is>
      </c>
    </row>
    <row r="185">
      <c r="B185" s="14" t="inlineStr">
        <is>
          <t>nrMK_PID</t>
        </is>
      </c>
      <c r="C185" s="2" t="inlineStr">
        <is>
          <t>'Makeup'!$E$6:$E$505</t>
        </is>
      </c>
    </row>
    <row r="186">
      <c r="B186" s="14" t="inlineStr">
        <is>
          <t>nrMK_Sess</t>
        </is>
      </c>
      <c r="C186" s="2" t="inlineStr">
        <is>
          <t>'Makeup'!$H$6:$H$505</t>
        </is>
      </c>
    </row>
    <row r="187">
      <c r="B187" s="14" t="inlineStr">
        <is>
          <t>nrMK_Type</t>
        </is>
      </c>
      <c r="C187" s="2" t="inlineStr">
        <is>
          <t>'Makeup'!$F$6:$F$505</t>
        </is>
      </c>
    </row>
    <row r="188">
      <c r="B188" s="14" t="inlineStr">
        <is>
          <t>nrPRGitems</t>
        </is>
      </c>
      <c r="C188" s="2" t="inlineStr">
        <is>
          <t>'Audit'!$B$30:$B$39</t>
        </is>
      </c>
    </row>
    <row r="189">
      <c r="B189" s="14" t="inlineStr">
        <is>
          <t>nrPRGmet</t>
        </is>
      </c>
      <c r="C189" s="2" t="inlineStr">
        <is>
          <t>'Audit'!$F$30:$F$39</t>
        </is>
      </c>
    </row>
    <row r="190">
      <c r="B190" s="14" t="inlineStr">
        <is>
          <t>nrPTRubricEvents</t>
        </is>
      </c>
      <c r="C190" s="2" t="inlineStr">
        <is>
          <t>'Settings'!$B$42:$B$48</t>
        </is>
      </c>
    </row>
    <row r="191">
      <c r="B191" s="14" t="inlineStr">
        <is>
          <t>nrPTRubricPoints</t>
        </is>
      </c>
      <c r="C191" s="2" t="inlineStr">
        <is>
          <t>'Settings'!$D$42:$H$48</t>
        </is>
      </c>
    </row>
    <row r="192">
      <c r="B192" s="14" t="inlineStr">
        <is>
          <t>nrPT_BasePass</t>
        </is>
      </c>
      <c r="C192" s="2" t="inlineStr">
        <is>
          <t>'PT'!$K$6:$K$55</t>
        </is>
      </c>
    </row>
    <row r="193">
      <c r="B193" s="14" t="inlineStr">
        <is>
          <t>nrPT_FinalPass</t>
        </is>
      </c>
      <c r="C193" s="2" t="inlineStr">
        <is>
          <t>'PT'!$AB$6:$AB$55</t>
        </is>
      </c>
    </row>
    <row r="194">
      <c r="B194" s="14" t="inlineStr">
        <is>
          <t>nrPT_FinalPts</t>
        </is>
      </c>
      <c r="C194" s="2" t="inlineStr">
        <is>
          <t>'PT'!$AA$6:$AA$55</t>
        </is>
      </c>
    </row>
    <row r="195">
      <c r="B195" s="14" t="inlineStr">
        <is>
          <t>nrPT_Improve</t>
        </is>
      </c>
      <c r="C195" s="2" t="inlineStr">
        <is>
          <t>'PT'!$AC$6:$AC$55</t>
        </is>
      </c>
    </row>
    <row r="196">
      <c r="B196" s="14" t="inlineStr">
        <is>
          <t>nrSCH_Act</t>
        </is>
      </c>
      <c r="C196" s="2" t="inlineStr">
        <is>
          <t>'Schedule'!$G$6:$G$905</t>
        </is>
      </c>
    </row>
    <row r="197">
      <c r="B197" s="14" t="inlineStr">
        <is>
          <t>nrSCH_ChNum</t>
        </is>
      </c>
      <c r="C197" s="2" t="inlineStr">
        <is>
          <t>'Schedule'!$H$6:$H$905</t>
        </is>
      </c>
    </row>
    <row r="198">
      <c r="B198" s="14" t="inlineStr">
        <is>
          <t>nrSCH_Date</t>
        </is>
      </c>
      <c r="C198" s="2" t="inlineStr">
        <is>
          <t>'Schedule'!$B$6:$B$905</t>
        </is>
      </c>
    </row>
    <row r="199">
      <c r="B199" s="14" t="inlineStr">
        <is>
          <t>nrSCH_End</t>
        </is>
      </c>
      <c r="C199" s="2" t="inlineStr">
        <is>
          <t>'Schedule'!$E$6:$E$905</t>
        </is>
      </c>
    </row>
    <row r="200">
      <c r="B200" s="14" t="inlineStr">
        <is>
          <t>nrSCH_Hrs</t>
        </is>
      </c>
      <c r="C200" s="2" t="inlineStr">
        <is>
          <t>'Schedule'!$F$6:$F$905</t>
        </is>
      </c>
    </row>
    <row r="201">
      <c r="B201" s="14" t="inlineStr">
        <is>
          <t>nrSCH_Instr</t>
        </is>
      </c>
      <c r="C201" s="2" t="inlineStr">
        <is>
          <t>'Schedule'!$I$6:$I$905</t>
        </is>
      </c>
    </row>
    <row r="202">
      <c r="B202" s="14" t="inlineStr">
        <is>
          <t>nrSCH_InstrOK</t>
        </is>
      </c>
      <c r="C202" s="2" t="inlineStr">
        <is>
          <t>'Schedule'!$N$6:$N$905</t>
        </is>
      </c>
    </row>
    <row r="203">
      <c r="B203" s="14" t="inlineStr">
        <is>
          <t>nrSCH_Loc</t>
        </is>
      </c>
      <c r="C203" s="2" t="inlineStr">
        <is>
          <t>'Schedule'!$J$6:$J$905</t>
        </is>
      </c>
    </row>
    <row r="204">
      <c r="B204" s="14" t="inlineStr">
        <is>
          <t>nrSCH_Start</t>
        </is>
      </c>
      <c r="C204" s="2" t="inlineStr">
        <is>
          <t>'Schedule'!$D$6:$D$905</t>
        </is>
      </c>
    </row>
    <row r="205">
      <c r="B205" s="14" t="inlineStr">
        <is>
          <t>nrSEstatus</t>
        </is>
      </c>
      <c r="C205" s="2" t="inlineStr">
        <is>
          <t>'StateExam'!$K$6:$K$55</t>
        </is>
      </c>
    </row>
    <row r="206">
      <c r="B206" s="14" t="inlineStr">
        <is>
          <t>nrSGclassavg</t>
        </is>
      </c>
      <c r="C206" s="2" t="inlineStr">
        <is>
          <t>'ScoresGrid'!$D$57:$AB$57</t>
        </is>
      </c>
    </row>
    <row r="207">
      <c r="B207" s="14" t="inlineStr">
        <is>
          <t>nrSK_Att</t>
        </is>
      </c>
      <c r="C207" s="2" t="inlineStr">
        <is>
          <t>'Skills'!$I$6:$I$605</t>
        </is>
      </c>
    </row>
    <row r="208">
      <c r="B208" s="14" t="inlineStr">
        <is>
          <t>nrSK_Cat</t>
        </is>
      </c>
      <c r="C208" s="2" t="inlineStr">
        <is>
          <t>'Skills'!$E$6:$E$605</t>
        </is>
      </c>
    </row>
    <row r="209">
      <c r="B209" s="14" t="inlineStr">
        <is>
          <t>nrSK_CoF</t>
        </is>
      </c>
      <c r="C209" s="2" t="inlineStr">
        <is>
          <t>'Skills'!$R$6:$R$605</t>
        </is>
      </c>
    </row>
    <row r="210">
      <c r="B210" s="14" t="inlineStr">
        <is>
          <t>nrSK_Dis</t>
        </is>
      </c>
      <c r="C210" s="2" t="inlineStr">
        <is>
          <t>'Skills'!$P$6:$P$605</t>
        </is>
      </c>
    </row>
    <row r="211">
      <c r="B211" s="14" t="inlineStr">
        <is>
          <t>nrSK_PID</t>
        </is>
      </c>
      <c r="C211" s="2" t="inlineStr">
        <is>
          <t>'Skills'!$D$6:$D$605</t>
        </is>
      </c>
    </row>
    <row r="212">
      <c r="B212" s="14" t="inlineStr">
        <is>
          <t>nrSK_Res</t>
        </is>
      </c>
      <c r="C212" s="2" t="inlineStr">
        <is>
          <t>'Skills'!$J$6:$J$605</t>
        </is>
      </c>
    </row>
    <row r="213">
      <c r="B213" s="14" t="inlineStr">
        <is>
          <t>nrSK_Score</t>
        </is>
      </c>
      <c r="C213" s="2" t="inlineStr">
        <is>
          <t>'Skills'!$K$6:$K$605</t>
        </is>
      </c>
    </row>
    <row r="214">
      <c r="B214" s="14" t="inlineStr">
        <is>
          <t>nrSK_Status</t>
        </is>
      </c>
      <c r="C214" s="2" t="inlineStr">
        <is>
          <t>'Skills'!$O$6:$O$605</t>
        </is>
      </c>
    </row>
    <row r="215">
      <c r="B215" s="14" t="inlineStr">
        <is>
          <t>nrSKbothCoF</t>
        </is>
      </c>
      <c r="C215" s="2" t="inlineStr">
        <is>
          <t>'sysSkills'!$P$6:$P$55</t>
        </is>
      </c>
    </row>
    <row r="216">
      <c r="B216" s="14" t="inlineStr">
        <is>
          <t>nrSKelig</t>
        </is>
      </c>
      <c r="C216" s="2" t="inlineStr">
        <is>
          <t>'sysSkills'!$K$6:$K$55</t>
        </is>
      </c>
    </row>
    <row r="217">
      <c r="B217" s="14" t="inlineStr">
        <is>
          <t>nrSKfailedout</t>
        </is>
      </c>
      <c r="C217" s="2" t="inlineStr">
        <is>
          <t>'sysSkills'!$J$6:$J$55</t>
        </is>
      </c>
    </row>
    <row r="218">
      <c r="B218" s="14" t="inlineStr">
        <is>
          <t>nrSKfirearmsAvg</t>
        </is>
      </c>
      <c r="C218" s="2" t="inlineStr">
        <is>
          <t>'sysSkills'!$L$6:$L$55</t>
        </is>
      </c>
    </row>
    <row r="219">
      <c r="B219" s="14" t="inlineStr">
        <is>
          <t>nrSUBname</t>
        </is>
      </c>
      <c r="C219" s="2" t="inlineStr">
        <is>
          <t>'ChapterMaster'!$B$56:$B$70</t>
        </is>
      </c>
    </row>
    <row r="220">
      <c r="B220" s="14" t="inlineStr">
        <is>
          <t>nrSUBparent</t>
        </is>
      </c>
      <c r="C220" s="2" t="inlineStr">
        <is>
          <t>'ChapterMaster'!$E$56:$E$70</t>
        </is>
      </c>
    </row>
    <row r="221">
      <c r="B221" s="14" t="inlineStr">
        <is>
          <t>nrSUBtarget</t>
        </is>
      </c>
      <c r="C221" s="2" t="inlineStr">
        <is>
          <t>'ChapterMaster'!$F$56:$F$70</t>
        </is>
      </c>
    </row>
    <row r="222">
      <c r="B222" s="14" t="inlineStr">
        <is>
          <t>nrScheduleItems</t>
        </is>
      </c>
      <c r="C222" s="2" t="inlineStr">
        <is>
          <t>'sysListsHelper'!$B$6:$B$89</t>
        </is>
      </c>
    </row>
    <row r="223">
      <c r="B223" s="14" t="inlineStr">
        <is>
          <t>nrSpellAvg</t>
        </is>
      </c>
      <c r="C223" s="2" t="inlineStr">
        <is>
          <t>'Spelling'!$P$6:$P$55</t>
        </is>
      </c>
    </row>
    <row r="224">
      <c r="B224" s="14" t="inlineStr">
        <is>
          <t>nrSpellClassAvg</t>
        </is>
      </c>
      <c r="C224" s="2" t="inlineStr">
        <is>
          <t>'Spelling'!$D$58:$O$58</t>
        </is>
      </c>
    </row>
    <row r="225">
      <c r="B225" s="14" t="inlineStr">
        <is>
          <t>nrSpellCounts</t>
        </is>
      </c>
      <c r="C225" s="2" t="inlineStr">
        <is>
          <t>'Spelling'!$D$57:$O$57</t>
        </is>
      </c>
    </row>
    <row r="226">
      <c r="B226" s="14" t="inlineStr">
        <is>
          <t>nrSpellFlag</t>
        </is>
      </c>
      <c r="C226" s="2" t="inlineStr">
        <is>
          <t>'Spelling'!$R$6:$R$55</t>
        </is>
      </c>
    </row>
    <row r="227">
      <c r="B227" s="14" t="inlineStr">
        <is>
          <t>nrSpellTaken</t>
        </is>
      </c>
      <c r="C227" s="2" t="inlineStr">
        <is>
          <t>'Spelling'!$Q$6:$Q$55</t>
        </is>
      </c>
    </row>
    <row r="228">
      <c r="B228" s="14" t="inlineStr">
        <is>
          <t>nrSpellTestNums</t>
        </is>
      </c>
      <c r="C228" s="2" t="inlineStr">
        <is>
          <t>'Spelling'!$D$59:$O$59</t>
        </is>
      </c>
    </row>
    <row r="229">
      <c r="B229" s="14" t="inlineStr">
        <is>
          <t>nrSpellWords</t>
        </is>
      </c>
      <c r="C229" s="2" t="inlineStr">
        <is>
          <t>'SpellingMaster'!$C$6:$N$30</t>
        </is>
      </c>
    </row>
    <row r="230">
      <c r="B230" s="14" t="inlineStr">
        <is>
          <t>nrWRcomplete</t>
        </is>
      </c>
      <c r="C230" s="2" t="inlineStr">
        <is>
          <t>'Writing'!$AR$6:$AR$55</t>
        </is>
      </c>
    </row>
    <row r="231">
      <c r="B231" s="14" t="inlineStr">
        <is>
          <t>nrWRcurrent</t>
        </is>
      </c>
      <c r="C231" s="2" t="inlineStr">
        <is>
          <t>'Writing'!$AT$6:$AT$55</t>
        </is>
      </c>
    </row>
    <row r="232">
      <c r="B232" s="14" t="inlineStr">
        <is>
          <t>nrWRoverdue</t>
        </is>
      </c>
      <c r="C232" s="2" t="inlineStr">
        <is>
          <t>'Writing'!$AS$6:$AS$55</t>
        </is>
      </c>
    </row>
    <row r="233">
      <c r="B233" s="14" t="inlineStr">
        <is>
          <t>rngAgencyActive</t>
        </is>
      </c>
      <c r="C233" s="2" t="inlineStr">
        <is>
          <t>'Agencies'!$H$6:$H$50</t>
        </is>
      </c>
    </row>
    <row r="234">
      <c r="B234" s="14" t="inlineStr">
        <is>
          <t>rngAgencyEmails</t>
        </is>
      </c>
      <c r="C234" s="2" t="inlineStr">
        <is>
          <t>'Agencies'!$E$6:$E$50</t>
        </is>
      </c>
    </row>
    <row r="235">
      <c r="B235" s="14" t="inlineStr">
        <is>
          <t>rngAgencyIDs</t>
        </is>
      </c>
      <c r="C235" s="2" t="inlineStr">
        <is>
          <t>'Agencies'!$B$6:$B$50</t>
        </is>
      </c>
    </row>
    <row r="236">
      <c r="B236" s="14" t="inlineStr">
        <is>
          <t>rngAgencyNames</t>
        </is>
      </c>
      <c r="C236" s="2" t="inlineStr">
        <is>
          <t>'Agencies'!$C$6:$C$50</t>
        </is>
      </c>
    </row>
    <row r="237">
      <c r="B237" s="14" t="inlineStr">
        <is>
          <t>rngCadetNames</t>
        </is>
      </c>
      <c r="C237" s="2" t="inlineStr">
        <is>
          <t>'Cadets'!$F$6:$F$55</t>
        </is>
      </c>
    </row>
    <row r="238">
      <c r="B238" s="14" t="inlineStr">
        <is>
          <t>rngCadetPIDs</t>
        </is>
      </c>
      <c r="C238" s="2" t="inlineStr">
        <is>
          <t>'Cadets'!$B$6:$B$55</t>
        </is>
      </c>
    </row>
    <row r="239">
      <c r="B239" s="14" t="inlineStr">
        <is>
          <t>rngEMcode</t>
        </is>
      </c>
      <c r="C239" s="2" t="inlineStr">
        <is>
          <t>'ExamMaster'!$B$6:$B$30</t>
        </is>
      </c>
    </row>
    <row r="240">
      <c r="B240" s="14" t="inlineStr">
        <is>
          <t>rngEMname</t>
        </is>
      </c>
      <c r="C240" s="2" t="inlineStr">
        <is>
          <t>'ExamMaster'!$C$6:$C$30</t>
        </is>
      </c>
    </row>
    <row r="241">
      <c r="B241" s="14" t="inlineStr">
        <is>
          <t>rngEMpass</t>
        </is>
      </c>
      <c r="C241" s="2" t="inlineStr">
        <is>
          <t>'ExamMaster'!$E$6:$E$30</t>
        </is>
      </c>
    </row>
    <row r="242">
      <c r="B242" s="14" t="inlineStr">
        <is>
          <t>rngEMseq</t>
        </is>
      </c>
      <c r="C242" s="2" t="inlineStr">
        <is>
          <t>'ExamMaster'!$F$6:$F$30</t>
        </is>
      </c>
    </row>
    <row r="243">
      <c r="B243" s="14" t="inlineStr">
        <is>
          <t>rngEMtype</t>
        </is>
      </c>
      <c r="C243" s="2" t="inlineStr">
        <is>
          <t>'ExamMaster'!$D$6:$D$30</t>
        </is>
      </c>
    </row>
    <row r="244">
      <c r="B244" s="14" t="inlineStr">
        <is>
          <t>rngEPch</t>
        </is>
      </c>
      <c r="C244" s="2" t="inlineStr">
        <is>
          <t>'ExamPlan'!$H$6:$H$30</t>
        </is>
      </c>
    </row>
    <row r="245">
      <c r="B245" s="14" t="inlineStr">
        <is>
          <t>rngEPcode</t>
        </is>
      </c>
      <c r="C245" s="2" t="inlineStr">
        <is>
          <t>'ExamPlan'!$C$6:$C$30</t>
        </is>
      </c>
    </row>
    <row r="246">
      <c r="B246" s="14" t="inlineStr">
        <is>
          <t>rngEPdate</t>
        </is>
      </c>
      <c r="C246" s="2" t="inlineStr">
        <is>
          <t>'ExamPlan'!$I$6:$I$30</t>
        </is>
      </c>
    </row>
    <row r="247">
      <c r="B247" s="14" t="inlineStr">
        <is>
          <t>rngEPname</t>
        </is>
      </c>
      <c r="C247" s="2" t="inlineStr">
        <is>
          <t>'ExamPlan'!$D$6:$D$30</t>
        </is>
      </c>
    </row>
    <row r="248">
      <c r="B248" s="14" t="inlineStr">
        <is>
          <t>rngEPpass</t>
        </is>
      </c>
      <c r="C248" s="2" t="inlineStr">
        <is>
          <t>'ExamPlan'!$F$6:$F$30</t>
        </is>
      </c>
    </row>
    <row r="249">
      <c r="B249" s="14" t="inlineStr">
        <is>
          <t>rngEPseq</t>
        </is>
      </c>
      <c r="C249" s="2" t="inlineStr">
        <is>
          <t>'ExamPlan'!$G$6:$G$30</t>
        </is>
      </c>
    </row>
    <row r="250">
      <c r="B250" s="14" t="inlineStr">
        <is>
          <t>rngEPtype</t>
        </is>
      </c>
      <c r="C250" s="2" t="inlineStr">
        <is>
          <t>'ExamPlan'!$E$6:$E$30</t>
        </is>
      </c>
    </row>
    <row r="251">
      <c r="B251" s="14" t="inlineStr">
        <is>
          <t>rngEPuse</t>
        </is>
      </c>
      <c r="C251" s="2" t="inlineStr">
        <is>
          <t>'ExamPlan'!$B$6:$B$30</t>
        </is>
      </c>
    </row>
    <row r="252">
      <c r="B252" s="14" t="inlineStr">
        <is>
          <t>rngSM_cat</t>
        </is>
      </c>
      <c r="C252" s="2" t="inlineStr">
        <is>
          <t>'SkillsMaster'!$B$6:$B$15</t>
        </is>
      </c>
    </row>
    <row r="253">
      <c r="B253" s="14" t="inlineStr">
        <is>
          <t>rngSM_max</t>
        </is>
      </c>
      <c r="C253" s="2" t="inlineStr">
        <is>
          <t>'SkillsMaster'!$C$6:$C$15</t>
        </is>
      </c>
    </row>
    <row r="254">
      <c r="B254" s="14" t="inlineStr">
        <is>
          <t>rngSM_mode</t>
        </is>
      </c>
      <c r="C254" s="2" t="inlineStr">
        <is>
          <t>'SkillsMaster'!$D$6:$D$15</t>
        </is>
      </c>
    </row>
    <row r="255">
      <c r="B255" s="14" t="inlineStr">
        <is>
          <t>rngSM_pass</t>
        </is>
      </c>
      <c r="C255" s="2" t="inlineStr">
        <is>
          <t>'SkillsMaster'!$E$6:$E$15</t>
        </is>
      </c>
    </row>
    <row r="256">
      <c r="B256" s="14" t="inlineStr">
        <is>
          <t>rngWMassigned</t>
        </is>
      </c>
      <c r="C256" s="2" t="inlineStr">
        <is>
          <t>'WritingMaster'!$K$6:$K$45</t>
        </is>
      </c>
    </row>
    <row r="257">
      <c r="B257" s="14" t="inlineStr">
        <is>
          <t>rngWMdue</t>
        </is>
      </c>
      <c r="C257" s="2" t="inlineStr">
        <is>
          <t>'WritingMaster'!$L$6:$L$45</t>
        </is>
      </c>
    </row>
    <row r="258">
      <c r="B258" s="14" t="inlineStr">
        <is>
          <t>rngWMnum</t>
        </is>
      </c>
      <c r="C258" s="2" t="inlineStr">
        <is>
          <t>'WritingMaster'!$B$6:$B$45</t>
        </is>
      </c>
    </row>
    <row r="259">
      <c r="B259" s="14" t="inlineStr">
        <is>
          <t>rngWMprompt</t>
        </is>
      </c>
      <c r="C259" s="2" t="inlineStr">
        <is>
          <t>'WritingMaster'!$M$6:$M$45</t>
        </is>
      </c>
    </row>
    <row r="260">
      <c r="B260" s="14" t="inlineStr">
        <is>
          <t>rngWMtitle</t>
        </is>
      </c>
      <c r="C260"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2026-08-20T14:35:37Z</dcterms:created>
  <dcterms:modified xsi:type="dcterms:W3CDTF">2026-08-20T14:35:41Z</dcterms:modified>
</cp:coreProperties>
</file>